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 Plot1" sheetId="1" r:id="rId4"/>
  </sheets>
  <definedNames/>
  <calcPr/>
  <extLst>
    <ext uri="GoogleSheetsCustomDataVersion2">
      <go:sheetsCustomData xmlns:go="http://customooxmlschemas.google.com/" r:id="rId5" roundtripDataChecksum="ApKKHI6yjZakioabpECcNenkgNQOgzBBZYF5d4iMmdU="/>
    </ext>
  </extLst>
</workbook>
</file>

<file path=xl/sharedStrings.xml><?xml version="1.0" encoding="utf-8"?>
<sst xmlns="http://schemas.openxmlformats.org/spreadsheetml/2006/main" count="95" uniqueCount="57">
  <si>
    <t>Student Name</t>
  </si>
  <si>
    <t>Country</t>
  </si>
  <si>
    <t>Final Grades</t>
  </si>
  <si>
    <t>Total students</t>
  </si>
  <si>
    <t>Anupama</t>
  </si>
  <si>
    <t>CA</t>
  </si>
  <si>
    <t>Benson</t>
  </si>
  <si>
    <t>SC</t>
  </si>
  <si>
    <t>Terence</t>
  </si>
  <si>
    <t>Max Score</t>
  </si>
  <si>
    <t>Highest score</t>
  </si>
  <si>
    <t>Peggy</t>
  </si>
  <si>
    <t>Min Score</t>
  </si>
  <si>
    <t>Lowest score</t>
  </si>
  <si>
    <t>Dale</t>
  </si>
  <si>
    <t>GA</t>
  </si>
  <si>
    <t>Median</t>
  </si>
  <si>
    <t>middle value</t>
  </si>
  <si>
    <t>Ramon</t>
  </si>
  <si>
    <t>Mode</t>
  </si>
  <si>
    <t>Same grade scored by many students</t>
  </si>
  <si>
    <t>John</t>
  </si>
  <si>
    <t>Ernest</t>
  </si>
  <si>
    <t>Janet</t>
  </si>
  <si>
    <t>Min</t>
  </si>
  <si>
    <t>Glenda</t>
  </si>
  <si>
    <t>Q1</t>
  </si>
  <si>
    <t>Maisa</t>
  </si>
  <si>
    <t>Obrien</t>
  </si>
  <si>
    <t>Q3</t>
  </si>
  <si>
    <t>Gardner</t>
  </si>
  <si>
    <t>Max</t>
  </si>
  <si>
    <t>Wise</t>
  </si>
  <si>
    <t>Baird</t>
  </si>
  <si>
    <t>Sullivan</t>
  </si>
  <si>
    <t>Hampton</t>
  </si>
  <si>
    <t>Li</t>
  </si>
  <si>
    <t>Morris</t>
  </si>
  <si>
    <t>Griffith</t>
  </si>
  <si>
    <t>Haas</t>
  </si>
  <si>
    <t>Roach</t>
  </si>
  <si>
    <t>Hoover</t>
  </si>
  <si>
    <t>Phillips</t>
  </si>
  <si>
    <t>Fox</t>
  </si>
  <si>
    <t>Payne</t>
  </si>
  <si>
    <t>Mason</t>
  </si>
  <si>
    <t>Henderson</t>
  </si>
  <si>
    <t>Jennings</t>
  </si>
  <si>
    <t>Mcconnell</t>
  </si>
  <si>
    <t>Rubio</t>
  </si>
  <si>
    <t>Jarvis</t>
  </si>
  <si>
    <t>Erickson</t>
  </si>
  <si>
    <t>Peck</t>
  </si>
  <si>
    <t>Fitzpatrick</t>
  </si>
  <si>
    <t>Harrington</t>
  </si>
  <si>
    <t>Horne</t>
  </si>
  <si>
    <t>Hensley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</si>
</sst>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10.0"/>
    <col customWidth="1" min="4" max="4" width="13.0"/>
    <col customWidth="1" min="5" max="5" width="3.0"/>
    <col customWidth="1" min="6" max="6" width="16.0"/>
    <col customWidth="1" min="7" max="7" width="10.0"/>
    <col customWidth="1" min="8" max="8" width="36.0"/>
    <col customWidth="1" min="9" max="26" width="8.71"/>
  </cols>
  <sheetData>
    <row r="2">
      <c r="B2" s="1" t="s">
        <v>0</v>
      </c>
      <c r="C2" s="1" t="s">
        <v>1</v>
      </c>
      <c r="D2" s="1" t="s">
        <v>2</v>
      </c>
      <c r="F2" s="2" t="s">
        <v>3</v>
      </c>
      <c r="G2" s="3">
        <f>COUNTA(B3:B41)</f>
        <v>39</v>
      </c>
      <c r="H2" s="3"/>
    </row>
    <row r="3">
      <c r="B3" s="4" t="s">
        <v>4</v>
      </c>
      <c r="C3" s="4" t="s">
        <v>5</v>
      </c>
      <c r="D3" s="4">
        <v>94.0</v>
      </c>
      <c r="F3" s="3"/>
      <c r="G3" s="3"/>
      <c r="H3" s="3"/>
    </row>
    <row r="4">
      <c r="B4" s="4" t="s">
        <v>6</v>
      </c>
      <c r="C4" s="4" t="s">
        <v>7</v>
      </c>
      <c r="D4" s="4">
        <v>81.0</v>
      </c>
      <c r="F4" s="3"/>
      <c r="G4" s="3"/>
      <c r="H4" s="3"/>
    </row>
    <row r="5">
      <c r="B5" s="4" t="s">
        <v>8</v>
      </c>
      <c r="C5" s="4" t="s">
        <v>5</v>
      </c>
      <c r="D5" s="4">
        <v>70.0</v>
      </c>
      <c r="F5" s="3" t="s">
        <v>9</v>
      </c>
      <c r="G5" s="3">
        <f>MAX(D3:D41)</f>
        <v>98</v>
      </c>
      <c r="H5" s="3" t="s">
        <v>10</v>
      </c>
    </row>
    <row r="6">
      <c r="B6" s="4" t="s">
        <v>11</v>
      </c>
      <c r="C6" s="4" t="s">
        <v>7</v>
      </c>
      <c r="D6" s="4">
        <v>22.0</v>
      </c>
      <c r="F6" s="3" t="s">
        <v>12</v>
      </c>
      <c r="G6" s="3">
        <f>MIN(D3:D41)</f>
        <v>21</v>
      </c>
      <c r="H6" s="3" t="s">
        <v>13</v>
      </c>
    </row>
    <row r="7">
      <c r="B7" s="4" t="s">
        <v>14</v>
      </c>
      <c r="C7" s="4" t="s">
        <v>15</v>
      </c>
      <c r="D7" s="4">
        <v>94.0</v>
      </c>
      <c r="F7" s="3" t="s">
        <v>16</v>
      </c>
      <c r="G7" s="3">
        <f>MEDIAN(D3:D41)</f>
        <v>62</v>
      </c>
      <c r="H7" s="3" t="s">
        <v>17</v>
      </c>
    </row>
    <row r="8">
      <c r="B8" s="4" t="s">
        <v>18</v>
      </c>
      <c r="C8" s="4" t="s">
        <v>5</v>
      </c>
      <c r="D8" s="4">
        <v>61.0</v>
      </c>
      <c r="F8" s="3" t="s">
        <v>19</v>
      </c>
      <c r="G8" s="3">
        <f>MODE(D3:D41)</f>
        <v>69</v>
      </c>
      <c r="H8" s="3" t="s">
        <v>20</v>
      </c>
    </row>
    <row r="9">
      <c r="B9" s="4" t="s">
        <v>21</v>
      </c>
      <c r="C9" s="4" t="s">
        <v>5</v>
      </c>
      <c r="D9" s="4">
        <v>98.0</v>
      </c>
      <c r="F9" s="3"/>
      <c r="G9" s="3"/>
      <c r="H9" s="3"/>
    </row>
    <row r="10">
      <c r="B10" s="4" t="s">
        <v>22</v>
      </c>
      <c r="C10" s="4" t="s">
        <v>7</v>
      </c>
      <c r="D10" s="4">
        <v>44.0</v>
      </c>
      <c r="F10" s="3"/>
      <c r="G10" s="3"/>
      <c r="H10" s="3"/>
    </row>
    <row r="11">
      <c r="B11" s="4" t="s">
        <v>23</v>
      </c>
      <c r="C11" s="4" t="s">
        <v>7</v>
      </c>
      <c r="D11" s="4">
        <v>24.0</v>
      </c>
      <c r="F11" s="3" t="s">
        <v>24</v>
      </c>
      <c r="G11" s="3">
        <f>_xlfn.QUARTILE.INC($D$3:$D$41,0)</f>
        <v>21</v>
      </c>
      <c r="H11" s="3"/>
    </row>
    <row r="12">
      <c r="B12" s="4" t="s">
        <v>25</v>
      </c>
      <c r="C12" s="4" t="s">
        <v>7</v>
      </c>
      <c r="D12" s="4">
        <v>46.0</v>
      </c>
      <c r="F12" s="3" t="s">
        <v>26</v>
      </c>
      <c r="G12" s="3">
        <f>_xlfn.QUARTILE.INC($D$3:$D$41,1)</f>
        <v>43.5</v>
      </c>
      <c r="H12" s="3"/>
    </row>
    <row r="13">
      <c r="B13" s="4" t="s">
        <v>27</v>
      </c>
      <c r="C13" s="4" t="s">
        <v>15</v>
      </c>
      <c r="D13" s="4">
        <v>56.0</v>
      </c>
      <c r="F13" s="3" t="s">
        <v>16</v>
      </c>
      <c r="G13" s="3">
        <f>_xlfn.QUARTILE.INC($D$3:$D$41,2)</f>
        <v>62</v>
      </c>
      <c r="H13" s="3"/>
    </row>
    <row r="14">
      <c r="B14" s="4" t="s">
        <v>28</v>
      </c>
      <c r="C14" s="4" t="s">
        <v>5</v>
      </c>
      <c r="D14" s="4">
        <v>22.0</v>
      </c>
      <c r="F14" s="3" t="s">
        <v>29</v>
      </c>
      <c r="G14" s="3">
        <f>_xlfn.QUARTILE.INC($D$3:$D$41,3)</f>
        <v>80.5</v>
      </c>
      <c r="H14" s="3"/>
    </row>
    <row r="15">
      <c r="B15" s="4" t="s">
        <v>30</v>
      </c>
      <c r="C15" s="4" t="s">
        <v>7</v>
      </c>
      <c r="D15" s="4">
        <v>88.0</v>
      </c>
      <c r="F15" s="3" t="s">
        <v>31</v>
      </c>
      <c r="G15" s="3">
        <f>_xlfn.QUARTILE.INC($D$3:$D$41,4)</f>
        <v>98</v>
      </c>
      <c r="H15" s="3"/>
    </row>
    <row r="16">
      <c r="B16" s="4" t="s">
        <v>32</v>
      </c>
      <c r="C16" s="4" t="s">
        <v>15</v>
      </c>
      <c r="D16" s="4">
        <v>69.0</v>
      </c>
    </row>
    <row r="17">
      <c r="B17" s="4" t="s">
        <v>33</v>
      </c>
      <c r="C17" s="4" t="s">
        <v>7</v>
      </c>
      <c r="D17" s="4">
        <v>43.0</v>
      </c>
    </row>
    <row r="18">
      <c r="B18" s="4" t="s">
        <v>34</v>
      </c>
      <c r="C18" s="4" t="s">
        <v>5</v>
      </c>
      <c r="D18" s="4">
        <v>80.0</v>
      </c>
    </row>
    <row r="19">
      <c r="B19" s="4" t="s">
        <v>35</v>
      </c>
      <c r="C19" s="4" t="s">
        <v>7</v>
      </c>
      <c r="D19" s="4">
        <v>93.0</v>
      </c>
    </row>
    <row r="20">
      <c r="B20" s="4" t="s">
        <v>36</v>
      </c>
      <c r="C20" s="4" t="s">
        <v>7</v>
      </c>
      <c r="D20" s="4">
        <v>73.0</v>
      </c>
    </row>
    <row r="21" ht="15.75" customHeight="1">
      <c r="B21" s="4" t="s">
        <v>37</v>
      </c>
      <c r="C21" s="4" t="s">
        <v>15</v>
      </c>
      <c r="D21" s="4">
        <v>21.0</v>
      </c>
    </row>
    <row r="22" ht="15.75" customHeight="1">
      <c r="B22" s="4" t="s">
        <v>38</v>
      </c>
      <c r="C22" s="4" t="s">
        <v>15</v>
      </c>
      <c r="D22" s="4">
        <v>34.0</v>
      </c>
    </row>
    <row r="23" ht="15.75" customHeight="1">
      <c r="B23" s="4" t="s">
        <v>39</v>
      </c>
      <c r="C23" s="4" t="s">
        <v>7</v>
      </c>
      <c r="D23" s="4">
        <v>40.0</v>
      </c>
    </row>
    <row r="24" ht="15.75" customHeight="1">
      <c r="B24" s="4" t="s">
        <v>40</v>
      </c>
      <c r="C24" s="4" t="s">
        <v>15</v>
      </c>
      <c r="D24" s="4">
        <v>85.0</v>
      </c>
    </row>
    <row r="25" ht="15.75" customHeight="1">
      <c r="B25" s="4" t="s">
        <v>41</v>
      </c>
      <c r="C25" s="4" t="s">
        <v>15</v>
      </c>
      <c r="D25" s="4">
        <v>25.0</v>
      </c>
    </row>
    <row r="26" ht="15.75" customHeight="1">
      <c r="B26" s="4" t="s">
        <v>42</v>
      </c>
      <c r="C26" s="4" t="s">
        <v>7</v>
      </c>
      <c r="D26" s="4">
        <v>62.0</v>
      </c>
    </row>
    <row r="27" ht="15.75" customHeight="1">
      <c r="B27" s="4" t="s">
        <v>43</v>
      </c>
      <c r="C27" s="4" t="s">
        <v>5</v>
      </c>
      <c r="D27" s="4">
        <v>71.0</v>
      </c>
    </row>
    <row r="28" ht="15.75" customHeight="1">
      <c r="B28" s="4" t="s">
        <v>44</v>
      </c>
      <c r="C28" s="4" t="s">
        <v>15</v>
      </c>
      <c r="D28" s="4">
        <v>54.0</v>
      </c>
    </row>
    <row r="29" ht="15.75" customHeight="1">
      <c r="B29" s="4" t="s">
        <v>35</v>
      </c>
      <c r="C29" s="4" t="s">
        <v>15</v>
      </c>
      <c r="D29" s="4">
        <v>61.0</v>
      </c>
    </row>
    <row r="30" ht="15.75" customHeight="1">
      <c r="B30" s="4" t="s">
        <v>45</v>
      </c>
      <c r="C30" s="4" t="s">
        <v>5</v>
      </c>
      <c r="D30" s="4">
        <v>69.0</v>
      </c>
    </row>
    <row r="31" ht="15.75" customHeight="1">
      <c r="B31" s="4" t="s">
        <v>46</v>
      </c>
      <c r="C31" s="4" t="s">
        <v>5</v>
      </c>
      <c r="D31" s="4">
        <v>55.0</v>
      </c>
    </row>
    <row r="32" ht="15.75" customHeight="1">
      <c r="B32" s="4" t="s">
        <v>47</v>
      </c>
      <c r="C32" s="4" t="s">
        <v>5</v>
      </c>
      <c r="D32" s="4">
        <v>57.0</v>
      </c>
    </row>
    <row r="33" ht="15.75" customHeight="1">
      <c r="B33" s="4" t="s">
        <v>48</v>
      </c>
      <c r="C33" s="4" t="s">
        <v>7</v>
      </c>
      <c r="D33" s="4">
        <v>67.0</v>
      </c>
    </row>
    <row r="34" ht="15.75" customHeight="1">
      <c r="B34" s="4" t="s">
        <v>49</v>
      </c>
      <c r="C34" s="4" t="s">
        <v>7</v>
      </c>
      <c r="D34" s="4">
        <v>89.0</v>
      </c>
    </row>
    <row r="35" ht="15.75" customHeight="1">
      <c r="B35" s="4" t="s">
        <v>50</v>
      </c>
      <c r="C35" s="4" t="s">
        <v>5</v>
      </c>
      <c r="D35" s="4">
        <v>69.0</v>
      </c>
    </row>
    <row r="36" ht="15.75" customHeight="1">
      <c r="B36" s="4" t="s">
        <v>51</v>
      </c>
      <c r="C36" s="4" t="s">
        <v>15</v>
      </c>
      <c r="D36" s="4">
        <v>93.0</v>
      </c>
    </row>
    <row r="37" ht="15.75" customHeight="1">
      <c r="B37" s="4" t="s">
        <v>52</v>
      </c>
      <c r="C37" s="4" t="s">
        <v>7</v>
      </c>
      <c r="D37" s="4">
        <v>85.0</v>
      </c>
    </row>
    <row r="38" ht="15.75" customHeight="1">
      <c r="B38" s="4" t="s">
        <v>53</v>
      </c>
      <c r="C38" s="4" t="s">
        <v>7</v>
      </c>
      <c r="D38" s="4">
        <v>79.0</v>
      </c>
    </row>
    <row r="39" ht="15.75" customHeight="1">
      <c r="B39" s="4" t="s">
        <v>54</v>
      </c>
      <c r="C39" s="4" t="s">
        <v>5</v>
      </c>
      <c r="D39" s="4">
        <v>56.0</v>
      </c>
    </row>
    <row r="40" ht="15.75" customHeight="1">
      <c r="B40" s="4" t="s">
        <v>55</v>
      </c>
      <c r="C40" s="4" t="s">
        <v>5</v>
      </c>
      <c r="D40" s="4">
        <v>36.0</v>
      </c>
    </row>
    <row r="41" ht="15.75" customHeight="1">
      <c r="B41" s="4" t="s">
        <v>56</v>
      </c>
      <c r="C41" s="4" t="s">
        <v>7</v>
      </c>
      <c r="D41" s="4">
        <v>31.0</v>
      </c>
    </row>
    <row r="42" ht="15.75" customHeight="1"/>
    <row r="43" ht="15.75" customHeight="1">
      <c r="B43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2026-10-27T05:53:26Z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