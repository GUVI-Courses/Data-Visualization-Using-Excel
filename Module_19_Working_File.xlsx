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" sheetId="1" r:id="rId4"/>
    <sheet state="visible" name="Regression" sheetId="2" r:id="rId5"/>
  </sheets>
  <definedNames/>
  <calcPr/>
  <extLst>
    <ext uri="GoogleSheetsCustomDataVersion2">
      <go:sheetsCustomData xmlns:go="http://customooxmlschemas.google.com/" r:id="rId6" roundtripDataChecksum="DiXuHxXBuQIiVdaVwY1FP3BuYPqIDvrurb6MLWvUNOw="/>
    </ext>
  </extLst>
</workbook>
</file>

<file path=xl/sharedStrings.xml><?xml version="1.0" encoding="utf-8"?>
<sst xmlns="http://schemas.openxmlformats.org/spreadsheetml/2006/main" count="72" uniqueCount="38">
  <si>
    <t>X(Independent)</t>
  </si>
  <si>
    <t>X(Independent)2</t>
  </si>
  <si>
    <t>Y(Dependent)</t>
  </si>
  <si>
    <t>SUMMARY OUTPUT</t>
  </si>
  <si>
    <t>Age</t>
  </si>
  <si>
    <t>Distance(KM)</t>
  </si>
  <si>
    <t>Happiness rate</t>
  </si>
  <si>
    <t>Transport</t>
  </si>
  <si>
    <t>Travel Time(Hrs)</t>
  </si>
  <si>
    <t>Regression Statistics</t>
  </si>
  <si>
    <t>Train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</si>
  <si>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</si>
  <si>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</si>
  <si>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</si>
  <si>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</si>
  <si>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</si>
  <si>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</si>
  <si>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</si>
  <si>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</si>
  <si>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Bus</t>
  </si>
  <si>
    <t>MS</t>
  </si>
  <si>
    <t>F</t>
  </si>
  <si>
    <t>Significance F</t>
  </si>
  <si>
    <t>Regression</t>
  </si>
  <si>
    <t>Metro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</si>
  <si>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</si>
  <si>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</si>
  <si>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</si>
  <si>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</si>
  <si>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</si>
  <si>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</si>
  <si>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</si>
  <si>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</si>
  <si>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Slope (X variable)</t>
  </si>
  <si>
    <t>Interpretation</t>
  </si>
  <si>
    <t>Prediction: y = b*x + a  (y = age coefficient * x + intercept)</t>
  </si>
  <si>
    <t>Enter age (x):</t>
  </si>
  <si>
    <t>Predicted happiness rate: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</si>
</sst>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9">
    <font>
      <sz val="11.0"/>
      <color theme="1"/>
      <name val="Calibri"/>
      <scheme val="minor"/>
    </font>
    <font>
      <i/>
      <sz val="9.0"/>
      <color theme="1"/>
      <name val="Arial"/>
    </font>
    <font>
      <b/>
      <sz val="12.0"/>
      <color rgb="FFFFFFFF"/>
      <name val="Arial"/>
    </font>
    <font>
      <b/>
      <sz val="10.0"/>
      <color theme="1"/>
      <name val="Arial"/>
    </font>
    <font>
      <sz val="12.0"/>
      <color rgb="FFFFFFFF"/>
      <name val="Arial"/>
    </font>
    <font>
      <sz val="12.0"/>
      <color theme="1"/>
      <name val="Arial"/>
    </font>
    <font>
      <i/>
      <sz val="10.0"/>
      <color theme="1"/>
      <name val="Arial"/>
    </font>
    <font>
      <sz val="10.0"/>
      <color theme="1"/>
      <name val="Arial"/>
    </font>
    <font>
      <sz val="10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C55A11"/>
        <bgColor rgb="FFC55A11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4" fontId="5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1" fillId="5" fontId="8" numFmtId="0" xfId="0" applyAlignment="1" applyBorder="1" applyFill="1" applyFon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HAPPINESS RATE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Series1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Updated!$B$4:$B$9</c:f>
            </c:numRef>
          </c:xVal>
          <c:yVal>
            <c:numRef>
              <c:f>Updated!$D$4:$D$9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158811"/>
        <c:axId val="1864094255"/>
      </c:scatterChart>
      <c:valAx>
        <c:axId val="9571588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64094255"/>
      </c:valAx>
      <c:valAx>
        <c:axId val="1864094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Happiness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57158811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Travel Time(Hrs)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Series1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Regression!$B$4:$B$13</c:f>
            </c:numRef>
          </c:xVal>
          <c:yVal>
            <c:numRef>
              <c:f>Regression!$D$4:$D$13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885378"/>
        <c:axId val="1972685021"/>
      </c:scatterChart>
      <c:valAx>
        <c:axId val="17048853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Distance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72685021"/>
      </c:valAx>
      <c:valAx>
        <c:axId val="1972685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Travel Time (Hrs)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04885378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4381500" cy="2562225"/>
    <xdr:graphicFrame>
      <xdr:nvGraphicFramePr>
        <xdr:cNvPr id="144345906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3838575" cy="2247900"/>
    <xdr:graphicFrame>
      <xdr:nvGraphicFramePr>
        <xdr:cNvPr id="182493788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4" width="20.0"/>
    <col customWidth="1" min="5" max="5" width="8.71"/>
    <col customWidth="1" min="6" max="12" width="17.0"/>
    <col customWidth="1" min="13" max="26" width="8.71"/>
  </cols>
  <sheetData>
    <row r="1">
      <c r="B1" s="1"/>
    </row>
    <row r="2">
      <c r="B2" s="2" t="s">
        <v>0</v>
      </c>
      <c r="D2" s="2" t="s">
        <v>2</v>
      </c>
      <c r="F2" s="3" t="s">
        <v>3</v>
      </c>
    </row>
    <row r="3">
      <c r="B3" s="4" t="s">
        <v>4</v>
      </c>
      <c r="D3" s="4" t="s">
        <v>6</v>
      </c>
    </row>
    <row r="4">
      <c r="B4" s="5">
        <v>22.0</v>
      </c>
      <c r="D4" s="5">
        <v>5.0</v>
      </c>
      <c r="F4" s="6" t="s">
        <v>9</v>
      </c>
    </row>
    <row r="5">
      <c r="B5" s="7">
        <v>25.0</v>
      </c>
      <c r="D5" s="7">
        <v>5.0</v>
      </c>
      <c r="F5" s="8" t="s">
        <v>11</v>
      </c>
      <c r="G5" s="9">
        <f>SQRT(RSQ($D$4:$D$9,$B$4:$B$9))</f>
        <v>0.9874192372</v>
      </c>
    </row>
    <row r="6">
      <c r="B6" s="5">
        <v>35.0</v>
      </c>
      <c r="D6" s="5">
        <v>4.0</v>
      </c>
      <c r="F6" s="8" t="s">
        <v>12</v>
      </c>
      <c r="G6" s="9">
        <f>RSQ($D$4:$D$9,$B$4:$B$9)</f>
        <v>0.97499675</v>
      </c>
    </row>
    <row r="7">
      <c r="B7" s="7">
        <v>45.0</v>
      </c>
      <c r="D7" s="7">
        <v>3.0</v>
      </c>
      <c r="F7" s="8" t="s">
        <v>13</v>
      </c>
      <c r="G7" s="9">
        <f>1-(1-G6)*(G9-1)/(G9-2)</f>
        <v>0.9687459375</v>
      </c>
    </row>
    <row r="8">
      <c r="B8" s="5">
        <v>50.0</v>
      </c>
      <c r="D8" s="5">
        <v>3.0</v>
      </c>
      <c r="F8" s="8" t="s">
        <v>14</v>
      </c>
      <c r="G8" s="9">
        <f>STEYX($D$4:$D$9,$B$4:$B$9)</f>
        <v>0.1916338264</v>
      </c>
    </row>
    <row r="9">
      <c r="B9" s="7">
        <v>57.0</v>
      </c>
      <c r="D9" s="7">
        <v>2.5</v>
      </c>
      <c r="F9" s="8" t="s">
        <v>15</v>
      </c>
      <c r="G9" s="9">
        <f>COUNT($B$4:$B$9)</f>
        <v>6</v>
      </c>
    </row>
    <row r="11">
      <c r="F11" s="3" t="s">
        <v>16</v>
      </c>
    </row>
    <row r="12">
      <c r="F12" s="3"/>
      <c r="G12" s="3" t="s">
        <v>17</v>
      </c>
      <c r="H12" s="3" t="s">
        <v>18</v>
      </c>
      <c r="I12" s="3" t="s">
        <v>20</v>
      </c>
      <c r="J12" s="3" t="s">
        <v>21</v>
      </c>
      <c r="K12" s="3" t="s">
        <v>22</v>
      </c>
    </row>
    <row r="13">
      <c r="F13" s="8" t="s">
        <v>23</v>
      </c>
      <c r="G13" s="8">
        <v>1.0</v>
      </c>
      <c r="H13" s="9">
        <f>DEVSQ($D$4:$D$9)*G6</f>
        <v>5.728105906</v>
      </c>
      <c r="I13" s="9">
        <f t="shared" ref="I13:I14" si="1">H13/G13</f>
        <v>5.728105906</v>
      </c>
      <c r="J13" s="9">
        <f>I13/I14</f>
        <v>155.9792028</v>
      </c>
      <c r="K13" s="9">
        <f>FDIST(J13,G13,G14)</f>
        <v>0.0002364177748</v>
      </c>
    </row>
    <row r="14">
      <c r="F14" s="8" t="s">
        <v>25</v>
      </c>
      <c r="G14" s="9">
        <f>G9-2</f>
        <v>4</v>
      </c>
      <c r="H14" s="9">
        <f>DEVSQ($D$4:$D$9)-H13</f>
        <v>0.1468940937</v>
      </c>
      <c r="I14" s="9">
        <f t="shared" si="1"/>
        <v>0.03672352342</v>
      </c>
    </row>
    <row r="15">
      <c r="F15" s="8" t="s">
        <v>26</v>
      </c>
      <c r="G15" s="9">
        <f>G9-1</f>
        <v>5</v>
      </c>
      <c r="H15" s="9">
        <f>DEVSQ($D$4:$D$9)</f>
        <v>5.875</v>
      </c>
    </row>
    <row r="17">
      <c r="F17" s="3"/>
      <c r="G17" s="3" t="s">
        <v>27</v>
      </c>
      <c r="H17" s="3" t="s">
        <v>14</v>
      </c>
      <c r="I17" s="3" t="s">
        <v>28</v>
      </c>
      <c r="J17" s="3" t="s">
        <v>29</v>
      </c>
      <c r="K17" s="3" t="s">
        <v>30</v>
      </c>
      <c r="L17" s="3" t="s">
        <v>31</v>
      </c>
    </row>
    <row r="18">
      <c r="F18" s="8" t="s">
        <v>32</v>
      </c>
      <c r="G18" s="9">
        <f>INTERCEPT($D$4:$D$9,$B$4:$B$9)</f>
        <v>6.728615071</v>
      </c>
      <c r="H18" s="9">
        <f>SQRT(I14*(1/G9+AVERAGE($B$4:$B$9)^2/DEVSQ($B$4:$B$9)))</f>
        <v>0.2509998251</v>
      </c>
      <c r="I18" s="9">
        <f t="shared" ref="I18:I19" si="2">G18/H18</f>
        <v>26.80725004</v>
      </c>
      <c r="J18" s="9">
        <f>TDIST(ABS(I18),G14,2)</f>
        <v>0.00001151128954</v>
      </c>
      <c r="K18" s="9">
        <f>G18-TINV(0.05,G14)*H18</f>
        <v>6.031727835</v>
      </c>
      <c r="L18" s="9">
        <f>G18+TINV(0.05,G14)*H18</f>
        <v>7.425502307</v>
      </c>
    </row>
    <row r="19">
      <c r="F19" s="8" t="s">
        <v>33</v>
      </c>
      <c r="G19" s="9">
        <f>SLOPE($D$4:$D$9,$B$4:$B$9)</f>
        <v>-0.07637474542</v>
      </c>
      <c r="H19" s="9">
        <f>SQRT(I14/DEVSQ($B$4:$B$9))</f>
        <v>0.006115281135</v>
      </c>
      <c r="I19" s="9">
        <f t="shared" si="2"/>
        <v>-12.48916341</v>
      </c>
      <c r="J19" s="9">
        <f>TDIST(ABS(I19),G14,2)</f>
        <v>0.0002364177748</v>
      </c>
      <c r="K19" s="9">
        <f>G19-TINV(0.05,G14)*H19</f>
        <v>-0.09335348779</v>
      </c>
      <c r="L19" s="9">
        <f>G19+TINV(0.05,G14)*H19</f>
        <v>-0.05939600304</v>
      </c>
    </row>
    <row r="21" ht="15.75" customHeight="1">
      <c r="F21" s="3" t="s">
        <v>34</v>
      </c>
    </row>
    <row r="22" ht="15.75" customHeight="1">
      <c r="F22" s="8" t="str">
        <f>IF(K13&lt;0.05,"Significance F &lt; 0.05: the model is OK (significant).","Significance F &gt;= 0.05: consider another independent variable.")</f>
        <v>Significance F &lt; 0.05: the model is OK (significant).</v>
      </c>
    </row>
    <row r="23" ht="15.75" customHeight="1"/>
    <row r="24" ht="15.75" customHeight="1">
      <c r="F24" s="3" t="s">
        <v>35</v>
      </c>
    </row>
    <row r="25" ht="15.75" customHeight="1">
      <c r="F25" s="8" t="s">
        <v>36</v>
      </c>
      <c r="G25" s="10">
        <v>70.0</v>
      </c>
    </row>
    <row r="26" ht="15.75" customHeight="1">
      <c r="F26" s="8" t="s">
        <v>37</v>
      </c>
      <c r="G26" s="11">
        <f>G19*G25+G18</f>
        <v>1.382382892</v>
      </c>
    </row>
    <row r="27" ht="15.75" customHeight="1">
      <c r="F27" s="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4" width="20.0"/>
    <col customWidth="1" min="5" max="5" width="8.71"/>
    <col customWidth="1" min="6" max="12" width="17.0"/>
    <col customWidth="1" min="13" max="26" width="8.71"/>
  </cols>
  <sheetData>
    <row r="1">
      <c r="B1" s="1"/>
    </row>
    <row r="2">
      <c r="B2" s="2" t="s">
        <v>0</v>
      </c>
      <c r="C2" s="2" t="s">
        <v>1</v>
      </c>
      <c r="D2" s="2" t="s">
        <v>2</v>
      </c>
      <c r="F2" s="3" t="s">
        <v>3</v>
      </c>
    </row>
    <row r="3">
      <c r="B3" s="4" t="s">
        <v>5</v>
      </c>
      <c r="C3" s="4" t="s">
        <v>7</v>
      </c>
      <c r="D3" s="4" t="s">
        <v>8</v>
      </c>
    </row>
    <row r="4">
      <c r="B4" s="5">
        <v>350.0</v>
      </c>
      <c r="C4" s="5" t="s">
        <v>10</v>
      </c>
      <c r="D4" s="5">
        <v>3.0</v>
      </c>
      <c r="F4" s="6" t="s">
        <v>9</v>
      </c>
    </row>
    <row r="5">
      <c r="B5" s="7">
        <v>300.0</v>
      </c>
      <c r="C5" s="7" t="s">
        <v>10</v>
      </c>
      <c r="D5" s="7">
        <v>1.4</v>
      </c>
      <c r="F5" s="8" t="s">
        <v>11</v>
      </c>
      <c r="G5" s="9">
        <f>SQRT(RSQ($D$4:$D$13,$B$4:$B$13))</f>
        <v>0.2112678238</v>
      </c>
    </row>
    <row r="6">
      <c r="B6" s="5">
        <v>150.0</v>
      </c>
      <c r="C6" s="5" t="s">
        <v>10</v>
      </c>
      <c r="D6" s="5">
        <v>2.0</v>
      </c>
      <c r="F6" s="8" t="s">
        <v>12</v>
      </c>
      <c r="G6" s="9">
        <f>RSQ($D$4:$D$13,$B$4:$B$13)</f>
        <v>0.04463409335</v>
      </c>
    </row>
    <row r="7">
      <c r="B7" s="7">
        <v>170.0</v>
      </c>
      <c r="C7" s="7" t="s">
        <v>10</v>
      </c>
      <c r="D7" s="7">
        <v>2.5</v>
      </c>
      <c r="F7" s="8" t="s">
        <v>13</v>
      </c>
      <c r="G7" s="9">
        <f>1-(1-G6)*(G9-1)/(G9-2)</f>
        <v>-0.07478664498</v>
      </c>
    </row>
    <row r="8">
      <c r="B8" s="5">
        <v>90.0</v>
      </c>
      <c r="C8" s="5" t="s">
        <v>10</v>
      </c>
      <c r="D8" s="5">
        <v>1.5</v>
      </c>
      <c r="F8" s="8" t="s">
        <v>14</v>
      </c>
      <c r="G8" s="9">
        <f>STEYX($D$4:$D$13,$B$4:$B$13)</f>
        <v>0.9774892978</v>
      </c>
    </row>
    <row r="9">
      <c r="B9" s="7">
        <v>85.0</v>
      </c>
      <c r="C9" s="7" t="s">
        <v>19</v>
      </c>
      <c r="D9" s="7">
        <v>3.3</v>
      </c>
      <c r="F9" s="8" t="s">
        <v>15</v>
      </c>
      <c r="G9" s="9">
        <f>COUNT($B$4:$B$13)</f>
        <v>10</v>
      </c>
    </row>
    <row r="10">
      <c r="B10" s="5">
        <v>52.0</v>
      </c>
      <c r="C10" s="5" t="s">
        <v>10</v>
      </c>
      <c r="D10" s="5">
        <v>1.0</v>
      </c>
    </row>
    <row r="11">
      <c r="B11" s="7">
        <v>50.0</v>
      </c>
      <c r="C11" s="7" t="s">
        <v>19</v>
      </c>
      <c r="D11" s="7">
        <v>3.5</v>
      </c>
      <c r="F11" s="3" t="s">
        <v>16</v>
      </c>
    </row>
    <row r="12">
      <c r="B12" s="5">
        <v>40.0</v>
      </c>
      <c r="C12" s="5" t="s">
        <v>24</v>
      </c>
      <c r="D12" s="5">
        <v>1.5</v>
      </c>
      <c r="F12" s="3"/>
      <c r="G12" s="3" t="s">
        <v>17</v>
      </c>
      <c r="H12" s="3" t="s">
        <v>18</v>
      </c>
      <c r="I12" s="3" t="s">
        <v>20</v>
      </c>
      <c r="J12" s="3" t="s">
        <v>21</v>
      </c>
      <c r="K12" s="3" t="s">
        <v>22</v>
      </c>
    </row>
    <row r="13">
      <c r="B13" s="7">
        <v>30.0</v>
      </c>
      <c r="C13" s="7" t="s">
        <v>24</v>
      </c>
      <c r="D13" s="7">
        <v>1.0</v>
      </c>
      <c r="F13" s="8" t="s">
        <v>23</v>
      </c>
      <c r="G13" s="8">
        <v>1.0</v>
      </c>
      <c r="H13" s="9">
        <f>DEVSQ($D$4:$D$13)*G6</f>
        <v>0.3571173809</v>
      </c>
      <c r="I13" s="9">
        <f t="shared" ref="I13:I14" si="1">H13/G13</f>
        <v>0.3571173809</v>
      </c>
      <c r="J13" s="9">
        <f>I13/I14</f>
        <v>0.3737549606</v>
      </c>
      <c r="K13" s="9">
        <f>FDIST(J13,G13,G14)</f>
        <v>0.5579326636</v>
      </c>
    </row>
    <row r="14">
      <c r="F14" s="8" t="s">
        <v>25</v>
      </c>
      <c r="G14" s="9">
        <f>G9-2</f>
        <v>8</v>
      </c>
      <c r="H14" s="9">
        <f>DEVSQ($D$4:$D$13)-H13</f>
        <v>7.643882619</v>
      </c>
      <c r="I14" s="9">
        <f t="shared" si="1"/>
        <v>0.9554853274</v>
      </c>
    </row>
    <row r="15">
      <c r="F15" s="8" t="s">
        <v>26</v>
      </c>
      <c r="G15" s="9">
        <f>G9-1</f>
        <v>9</v>
      </c>
      <c r="H15" s="9">
        <f>DEVSQ($D$4:$D$13)</f>
        <v>8.001</v>
      </c>
    </row>
    <row r="17">
      <c r="F17" s="3"/>
      <c r="G17" s="3" t="s">
        <v>27</v>
      </c>
      <c r="H17" s="3" t="s">
        <v>14</v>
      </c>
      <c r="I17" s="3" t="s">
        <v>28</v>
      </c>
      <c r="J17" s="3" t="s">
        <v>29</v>
      </c>
      <c r="K17" s="3" t="s">
        <v>30</v>
      </c>
      <c r="L17" s="3" t="s">
        <v>31</v>
      </c>
    </row>
    <row r="18">
      <c r="F18" s="8" t="s">
        <v>32</v>
      </c>
      <c r="G18" s="9">
        <f>INTERCEPT($D$4:$D$13,$B$4:$B$13)</f>
        <v>1.836368491</v>
      </c>
      <c r="H18" s="9">
        <f>SQRT(I14*(1/G9+AVERAGE($B$4:$B$13)^2/DEVSQ($B$4:$B$13)))</f>
        <v>0.4915179454</v>
      </c>
      <c r="I18" s="9">
        <f t="shared" ref="I18:I19" si="2">G18/H18</f>
        <v>3.736116877</v>
      </c>
      <c r="J18" s="9">
        <f>TDIST(ABS(I18),G14,2)</f>
        <v>0.00573720302</v>
      </c>
      <c r="K18" s="9">
        <f>G18-TINV(0.05,G14)*H18</f>
        <v>0.7029260764</v>
      </c>
      <c r="L18" s="9">
        <f>G18+TINV(0.05,G14)*H18</f>
        <v>2.969810906</v>
      </c>
    </row>
    <row r="19">
      <c r="F19" s="8" t="s">
        <v>33</v>
      </c>
      <c r="G19" s="9">
        <f>SLOPE($D$4:$D$13,$B$4:$B$13)</f>
        <v>0.001773967418</v>
      </c>
      <c r="H19" s="9">
        <f>SQRT(I14/DEVSQ($B$4:$B$13))</f>
        <v>0.002901697638</v>
      </c>
      <c r="I19" s="9">
        <f t="shared" si="2"/>
        <v>0.6113550201</v>
      </c>
      <c r="J19" s="9">
        <f>TDIST(ABS(I19),G14,2)</f>
        <v>0.5579326636</v>
      </c>
      <c r="K19" s="9">
        <f>G19-TINV(0.05,G14)*H19</f>
        <v>-0.004917359335</v>
      </c>
      <c r="L19" s="9">
        <f>G19+TINV(0.05,G14)*H19</f>
        <v>0.008465294171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2026-10-29T06:58:34Z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