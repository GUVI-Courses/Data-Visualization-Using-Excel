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ing" sheetId="1" r:id="rId4"/>
  </sheets>
  <definedNames>
    <definedName hidden="1" localSheetId="0" name="_xlnm._FilterDatabase">Filtering!$B$2:$H$52</definedName>
  </definedNames>
  <calcPr/>
  <extLst>
    <ext uri="GoogleSheetsCustomDataVersion2">
      <go:sheetsCustomData xmlns:go="http://customooxmlschemas.google.com/" r:id="rId5" roundtripDataChecksum="lO+/BHdBRd1jFsc3jsnjq8tjEFi4Yw1raTGh6Tmlie8="/>
    </ext>
  </extLst>
</workbook>
</file>

<file path=xl/sharedStrings.xml><?xml version="1.0" encoding="utf-8"?>
<sst xmlns="http://schemas.openxmlformats.org/spreadsheetml/2006/main" count="215" uniqueCount="80">
  <si>
    <t>Employee Name</t>
  </si>
  <si>
    <t>Department</t>
  </si>
  <si>
    <t>Status</t>
  </si>
  <si>
    <t>Hire Date</t>
  </si>
  <si>
    <t>Tenure</t>
  </si>
  <si>
    <t>Salary</t>
  </si>
  <si>
    <t>Gender</t>
  </si>
  <si>
    <t>Oren Rawlings</t>
  </si>
  <si>
    <t>Tenure as-of date</t>
  </si>
  <si>
    <t>Maude Sweigart</t>
  </si>
  <si>
    <t>IT</t>
  </si>
  <si>
    <t>Full Time</t>
  </si>
  <si>
    <t>Male</t>
  </si>
  <si>
    <t>Replace $N$2 with TODAY() in the Tenure formula to get live tenure (as in the video).</t>
  </si>
  <si>
    <t>Leonor Triplett</t>
  </si>
  <si>
    <t>Cleotilde Speck</t>
  </si>
  <si>
    <t>Human Resources</t>
  </si>
  <si>
    <t>Criselda Ogle</t>
  </si>
  <si>
    <t>Female</t>
  </si>
  <si>
    <t>Type a name from column B in K2. In the video the same lookup is built with XLOOKUP:</t>
  </si>
  <si>
    <t>Khalilah Holford</t>
  </si>
  <si>
    <t>=XLOOKUP(K2,B3:B52,G3:G52)  and  =XLOOKUP(K2,B3:B52,C3:C52)</t>
  </si>
  <si>
    <t>Manufacturing Admin</t>
  </si>
  <si>
    <t>Contract</t>
  </si>
  <si>
    <t>Suzi Gragg</t>
  </si>
  <si>
    <t>Manufacturing</t>
  </si>
  <si>
    <t>Clifford Mouzon</t>
  </si>
  <si>
    <t>Creative</t>
  </si>
  <si>
    <t>Shaunna Hori</t>
  </si>
  <si>
    <t>Half-Time</t>
  </si>
  <si>
    <t>Gordon Neidig</t>
  </si>
  <si>
    <t>Theola Danner</t>
  </si>
  <si>
    <t>Customer Services</t>
  </si>
  <si>
    <t>Claire Sergi</t>
  </si>
  <si>
    <t>Hourly</t>
  </si>
  <si>
    <t>Pamala Laureano</t>
  </si>
  <si>
    <t>Cassie Real</t>
  </si>
  <si>
    <t>Quality Control</t>
  </si>
  <si>
    <t>Dwight Kirkendoll</t>
  </si>
  <si>
    <t>Finance</t>
  </si>
  <si>
    <t>Margret Barahona</t>
  </si>
  <si>
    <t>Krissy Swiger</t>
  </si>
  <si>
    <t>Tiana Gaxiola</t>
  </si>
  <si>
    <t>Kendal Rambert</t>
  </si>
  <si>
    <t>Garnett Mcglynn</t>
  </si>
  <si>
    <t>Faviola Petrey</t>
  </si>
  <si>
    <t>Roseanne Witherow</t>
  </si>
  <si>
    <t>Alphonse Clemmer</t>
  </si>
  <si>
    <t>Research Center</t>
  </si>
  <si>
    <t>Shavonne Flick</t>
  </si>
  <si>
    <t>Tonia Jimmerson</t>
  </si>
  <si>
    <t>Awilda Herbert</t>
  </si>
  <si>
    <t>Allena Ploss</t>
  </si>
  <si>
    <t>Ariana Patchell</t>
  </si>
  <si>
    <t>Lorine Madonia</t>
  </si>
  <si>
    <t>Nickole Rizzi</t>
  </si>
  <si>
    <t>Fabiola Pitts</t>
  </si>
  <si>
    <t>Latia Betts</t>
  </si>
  <si>
    <t>Chanda Mccaw</t>
  </si>
  <si>
    <t>Marketing</t>
  </si>
  <si>
    <t>Margene Trimm</t>
  </si>
  <si>
    <t>Keri Cass</t>
  </si>
  <si>
    <t>Gaylord Fultz</t>
  </si>
  <si>
    <t>Professional Training Group</t>
  </si>
  <si>
    <t>Christena Roepke</t>
  </si>
  <si>
    <t>Ja Manke</t>
  </si>
  <si>
    <t>Madison Bachus</t>
  </si>
  <si>
    <t>Janeth Lastra</t>
  </si>
  <si>
    <t>Marilynn Ickes</t>
  </si>
  <si>
    <t>Twanna Romine</t>
  </si>
  <si>
    <t>Gertie Verrett</t>
  </si>
  <si>
    <t>Demetrice Hayford</t>
  </si>
  <si>
    <t>Marquerite Brian</t>
  </si>
  <si>
    <t>Environmental Compliance</t>
  </si>
  <si>
    <t>Concepcion Dewoody</t>
  </si>
  <si>
    <t>Facilities/Engineering</t>
  </si>
  <si>
    <t>Soila Niemeyer</t>
  </si>
  <si>
    <t>Jade Ferri</t>
  </si>
  <si>
    <t>Annamaria Chute</t>
  </si>
  <si>
    <t>Lucas Keyes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</si>
</sst>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\$#,##0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rgb="FF0000FF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i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3B4A8C"/>
      </left>
      <right style="thin">
        <color rgb="FF3B4A8C"/>
      </right>
      <top style="thin">
        <color rgb="FF3B4A8C"/>
      </top>
      <bottom style="thin">
        <color rgb="FF3B4A8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2" fillId="3" fontId="2" numFmtId="164" xfId="0" applyAlignment="1" applyBorder="1" applyFill="1" applyFont="1" applyNumberForma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16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" fillId="0" fontId="4" numFmtId="165" xfId="0" applyAlignment="1" applyBorder="1" applyFont="1" applyNumberFormat="1">
      <alignment horizontal="center" shrinkToFit="0" vertical="center" wrapText="0"/>
    </xf>
    <xf borderId="1" fillId="0" fontId="5" numFmtId="3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27.0"/>
    <col customWidth="1" min="4" max="4" width="12.0"/>
    <col customWidth="1" min="5" max="5" width="13.0"/>
    <col customWidth="1" min="6" max="6" width="9.0"/>
    <col customWidth="1" min="7" max="7" width="11.0"/>
    <col customWidth="1" min="8" max="8" width="10.0"/>
    <col customWidth="1" min="9" max="9" width="8.71"/>
    <col customWidth="1" min="10" max="10" width="17.0"/>
    <col customWidth="1" min="11" max="11" width="24.0"/>
    <col customWidth="1" min="12" max="12" width="8.71"/>
    <col customWidth="1" min="13" max="13" width="18.0"/>
    <col customWidth="1" min="14" max="14" width="13.0"/>
    <col customWidth="1" min="15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J2" s="2" t="s">
        <v>0</v>
      </c>
      <c r="K2" s="3" t="s">
        <v>7</v>
      </c>
      <c r="M2" s="4" t="s">
        <v>8</v>
      </c>
      <c r="N2" s="5">
        <v>45092.0</v>
      </c>
    </row>
    <row r="3">
      <c r="B3" s="6" t="s">
        <v>9</v>
      </c>
      <c r="C3" s="6" t="s">
        <v>10</v>
      </c>
      <c r="D3" s="6" t="s">
        <v>11</v>
      </c>
      <c r="E3" s="7">
        <v>37527.0</v>
      </c>
      <c r="F3" s="8">
        <f t="shared" ref="F3:F52" si="1">DATEDIF(E3,$N$2,"Y")</f>
        <v>20</v>
      </c>
      <c r="G3" s="9">
        <v>29260.0</v>
      </c>
      <c r="H3" s="6" t="s">
        <v>12</v>
      </c>
      <c r="J3" s="2" t="s">
        <v>5</v>
      </c>
      <c r="K3" s="10">
        <f t="array" ref="K3">INDEX($G$3:$G$52,MATCH($K$2,$B$3:$B$52,0))</f>
        <v>74500</v>
      </c>
      <c r="M3" s="11" t="s">
        <v>13</v>
      </c>
    </row>
    <row r="4">
      <c r="B4" s="6" t="s">
        <v>14</v>
      </c>
      <c r="C4" s="6" t="s">
        <v>10</v>
      </c>
      <c r="D4" s="6" t="s">
        <v>11</v>
      </c>
      <c r="E4" s="7">
        <v>40138.0</v>
      </c>
      <c r="F4" s="8">
        <f t="shared" si="1"/>
        <v>13</v>
      </c>
      <c r="G4" s="9">
        <v>39000.0</v>
      </c>
      <c r="H4" s="6" t="s">
        <v>12</v>
      </c>
      <c r="J4" s="2" t="s">
        <v>1</v>
      </c>
      <c r="K4" s="12" t="str">
        <f t="array" ref="K4">INDEX($C$3:$C$52,MATCH($K$2,$B$3:$B$52,0))</f>
        <v>Manufacturing Admin</v>
      </c>
    </row>
    <row r="5">
      <c r="B5" s="6" t="s">
        <v>15</v>
      </c>
      <c r="C5" s="6" t="s">
        <v>16</v>
      </c>
      <c r="D5" s="6" t="s">
        <v>11</v>
      </c>
      <c r="E5" s="7">
        <v>41199.0</v>
      </c>
      <c r="F5" s="8">
        <f t="shared" si="1"/>
        <v>10</v>
      </c>
      <c r="G5" s="9">
        <v>49260.0</v>
      </c>
      <c r="H5" s="6" t="s">
        <v>12</v>
      </c>
    </row>
    <row r="6">
      <c r="B6" s="6" t="s">
        <v>17</v>
      </c>
      <c r="C6" s="6" t="s">
        <v>10</v>
      </c>
      <c r="D6" s="6" t="s">
        <v>11</v>
      </c>
      <c r="E6" s="7">
        <v>41575.0</v>
      </c>
      <c r="F6" s="8">
        <f t="shared" si="1"/>
        <v>9</v>
      </c>
      <c r="G6" s="9">
        <v>24840.0</v>
      </c>
      <c r="H6" s="6" t="s">
        <v>18</v>
      </c>
      <c r="J6" s="11" t="s">
        <v>19</v>
      </c>
    </row>
    <row r="7">
      <c r="B7" s="6" t="s">
        <v>20</v>
      </c>
      <c r="C7" s="6" t="s">
        <v>10</v>
      </c>
      <c r="D7" s="6" t="s">
        <v>11</v>
      </c>
      <c r="E7" s="7">
        <v>37291.0</v>
      </c>
      <c r="F7" s="8">
        <f t="shared" si="1"/>
        <v>21</v>
      </c>
      <c r="G7" s="9">
        <v>39000.0</v>
      </c>
      <c r="H7" s="6" t="s">
        <v>12</v>
      </c>
      <c r="J7" s="13" t="s">
        <v>21</v>
      </c>
    </row>
    <row r="8">
      <c r="B8" s="6" t="s">
        <v>7</v>
      </c>
      <c r="C8" s="6" t="s">
        <v>22</v>
      </c>
      <c r="D8" s="6" t="s">
        <v>23</v>
      </c>
      <c r="E8" s="7">
        <v>37766.0</v>
      </c>
      <c r="F8" s="8">
        <f t="shared" si="1"/>
        <v>20</v>
      </c>
      <c r="G8" s="9">
        <v>74500.0</v>
      </c>
      <c r="H8" s="6" t="s">
        <v>12</v>
      </c>
    </row>
    <row r="9">
      <c r="B9" s="6" t="s">
        <v>24</v>
      </c>
      <c r="C9" s="6" t="s">
        <v>25</v>
      </c>
      <c r="D9" s="6" t="s">
        <v>11</v>
      </c>
      <c r="E9" s="7">
        <v>39808.0</v>
      </c>
      <c r="F9" s="8">
        <f t="shared" si="1"/>
        <v>14</v>
      </c>
      <c r="G9" s="9">
        <v>79730.0</v>
      </c>
      <c r="H9" s="6" t="s">
        <v>18</v>
      </c>
    </row>
    <row r="10">
      <c r="B10" s="6" t="s">
        <v>26</v>
      </c>
      <c r="C10" s="6" t="s">
        <v>27</v>
      </c>
      <c r="D10" s="6" t="s">
        <v>11</v>
      </c>
      <c r="E10" s="7">
        <v>41919.0</v>
      </c>
      <c r="F10" s="8">
        <f t="shared" si="1"/>
        <v>8</v>
      </c>
      <c r="G10" s="9">
        <v>82500.0</v>
      </c>
      <c r="H10" s="6" t="s">
        <v>12</v>
      </c>
    </row>
    <row r="11">
      <c r="B11" s="6" t="s">
        <v>28</v>
      </c>
      <c r="C11" s="6" t="s">
        <v>10</v>
      </c>
      <c r="D11" s="6" t="s">
        <v>29</v>
      </c>
      <c r="E11" s="7">
        <v>41808.0</v>
      </c>
      <c r="F11" s="8">
        <f t="shared" si="1"/>
        <v>8</v>
      </c>
      <c r="G11" s="9">
        <v>35045.0</v>
      </c>
      <c r="H11" s="6" t="s">
        <v>18</v>
      </c>
    </row>
    <row r="12">
      <c r="B12" s="6" t="s">
        <v>30</v>
      </c>
      <c r="C12" s="6" t="s">
        <v>10</v>
      </c>
      <c r="D12" s="6" t="s">
        <v>23</v>
      </c>
      <c r="E12" s="7">
        <v>41588.0</v>
      </c>
      <c r="F12" s="8">
        <f t="shared" si="1"/>
        <v>9</v>
      </c>
      <c r="G12" s="9">
        <v>89450.0</v>
      </c>
      <c r="H12" s="6" t="s">
        <v>12</v>
      </c>
    </row>
    <row r="13">
      <c r="B13" s="6" t="s">
        <v>31</v>
      </c>
      <c r="C13" s="6" t="s">
        <v>32</v>
      </c>
      <c r="D13" s="6" t="s">
        <v>23</v>
      </c>
      <c r="E13" s="7">
        <v>37376.0</v>
      </c>
      <c r="F13" s="8">
        <f t="shared" si="1"/>
        <v>21</v>
      </c>
      <c r="G13" s="9">
        <v>71300.0</v>
      </c>
      <c r="H13" s="6" t="s">
        <v>18</v>
      </c>
    </row>
    <row r="14">
      <c r="B14" s="6" t="s">
        <v>33</v>
      </c>
      <c r="C14" s="6" t="s">
        <v>32</v>
      </c>
      <c r="D14" s="6" t="s">
        <v>34</v>
      </c>
      <c r="E14" s="7">
        <v>37029.0</v>
      </c>
      <c r="F14" s="8">
        <f t="shared" si="1"/>
        <v>22</v>
      </c>
      <c r="G14" s="9">
        <v>16688.0</v>
      </c>
      <c r="H14" s="6" t="s">
        <v>18</v>
      </c>
    </row>
    <row r="15">
      <c r="B15" s="6" t="s">
        <v>35</v>
      </c>
      <c r="C15" s="6" t="s">
        <v>10</v>
      </c>
      <c r="D15" s="6" t="s">
        <v>29</v>
      </c>
      <c r="E15" s="7">
        <v>41394.0</v>
      </c>
      <c r="F15" s="8">
        <f t="shared" si="1"/>
        <v>10</v>
      </c>
      <c r="G15" s="9">
        <v>16925.0</v>
      </c>
      <c r="H15" s="6" t="s">
        <v>18</v>
      </c>
    </row>
    <row r="16">
      <c r="B16" s="6" t="s">
        <v>36</v>
      </c>
      <c r="C16" s="6" t="s">
        <v>37</v>
      </c>
      <c r="D16" s="6" t="s">
        <v>23</v>
      </c>
      <c r="E16" s="7">
        <v>36827.0</v>
      </c>
      <c r="F16" s="8">
        <f t="shared" si="1"/>
        <v>22</v>
      </c>
      <c r="G16" s="9">
        <v>45030.0</v>
      </c>
      <c r="H16" s="6" t="s">
        <v>18</v>
      </c>
    </row>
    <row r="17">
      <c r="B17" s="6" t="s">
        <v>38</v>
      </c>
      <c r="C17" s="6" t="s">
        <v>39</v>
      </c>
      <c r="D17" s="6" t="s">
        <v>11</v>
      </c>
      <c r="E17" s="7">
        <v>41236.0</v>
      </c>
      <c r="F17" s="8">
        <f t="shared" si="1"/>
        <v>10</v>
      </c>
      <c r="G17" s="9">
        <v>22860.0</v>
      </c>
      <c r="H17" s="6" t="s">
        <v>12</v>
      </c>
    </row>
    <row r="18">
      <c r="B18" s="6" t="s">
        <v>40</v>
      </c>
      <c r="C18" s="6" t="s">
        <v>32</v>
      </c>
      <c r="D18" s="6" t="s">
        <v>11</v>
      </c>
      <c r="E18" s="7">
        <v>41478.0</v>
      </c>
      <c r="F18" s="8">
        <f t="shared" si="1"/>
        <v>9</v>
      </c>
      <c r="G18" s="9">
        <v>63206.0</v>
      </c>
      <c r="H18" s="6" t="s">
        <v>18</v>
      </c>
    </row>
    <row r="19">
      <c r="B19" s="6" t="s">
        <v>41</v>
      </c>
      <c r="C19" s="6" t="s">
        <v>25</v>
      </c>
      <c r="D19" s="6" t="s">
        <v>34</v>
      </c>
      <c r="E19" s="7">
        <v>36983.0</v>
      </c>
      <c r="F19" s="8">
        <f t="shared" si="1"/>
        <v>22</v>
      </c>
      <c r="G19" s="9">
        <v>8904.0</v>
      </c>
      <c r="H19" s="6" t="s">
        <v>18</v>
      </c>
    </row>
    <row r="20">
      <c r="B20" s="6" t="s">
        <v>42</v>
      </c>
      <c r="C20" s="6" t="s">
        <v>32</v>
      </c>
      <c r="D20" s="6" t="s">
        <v>11</v>
      </c>
      <c r="E20" s="7">
        <v>38702.0</v>
      </c>
      <c r="F20" s="8">
        <f t="shared" si="1"/>
        <v>17</v>
      </c>
      <c r="G20" s="9">
        <v>23560.0</v>
      </c>
      <c r="H20" s="6" t="s">
        <v>12</v>
      </c>
    </row>
    <row r="21" ht="15.75" customHeight="1">
      <c r="B21" s="6" t="s">
        <v>43</v>
      </c>
      <c r="C21" s="6" t="s">
        <v>32</v>
      </c>
      <c r="D21" s="6" t="s">
        <v>11</v>
      </c>
      <c r="E21" s="7">
        <v>40336.0</v>
      </c>
      <c r="F21" s="8">
        <f t="shared" si="1"/>
        <v>13</v>
      </c>
      <c r="G21" s="9">
        <v>62688.0</v>
      </c>
      <c r="H21" s="6" t="s">
        <v>18</v>
      </c>
    </row>
    <row r="22" ht="15.75" customHeight="1">
      <c r="B22" s="6" t="s">
        <v>44</v>
      </c>
      <c r="C22" s="6" t="s">
        <v>10</v>
      </c>
      <c r="D22" s="6" t="s">
        <v>34</v>
      </c>
      <c r="E22" s="7">
        <v>41516.0</v>
      </c>
      <c r="F22" s="8">
        <f t="shared" si="1"/>
        <v>9</v>
      </c>
      <c r="G22" s="9">
        <v>33508.0</v>
      </c>
      <c r="H22" s="6" t="s">
        <v>12</v>
      </c>
    </row>
    <row r="23" ht="15.75" customHeight="1">
      <c r="B23" s="6" t="s">
        <v>45</v>
      </c>
      <c r="C23" s="6" t="s">
        <v>32</v>
      </c>
      <c r="D23" s="6" t="s">
        <v>11</v>
      </c>
      <c r="E23" s="7">
        <v>40175.0</v>
      </c>
      <c r="F23" s="8">
        <f t="shared" si="1"/>
        <v>13</v>
      </c>
      <c r="G23" s="9">
        <v>23320.0</v>
      </c>
      <c r="H23" s="6" t="s">
        <v>18</v>
      </c>
    </row>
    <row r="24" ht="15.75" customHeight="1">
      <c r="B24" s="6" t="s">
        <v>46</v>
      </c>
      <c r="C24" s="6" t="s">
        <v>25</v>
      </c>
      <c r="D24" s="6" t="s">
        <v>23</v>
      </c>
      <c r="E24" s="7">
        <v>41463.0</v>
      </c>
      <c r="F24" s="8">
        <f t="shared" si="1"/>
        <v>9</v>
      </c>
      <c r="G24" s="9">
        <v>52940.0</v>
      </c>
      <c r="H24" s="6" t="s">
        <v>18</v>
      </c>
    </row>
    <row r="25" ht="15.75" customHeight="1">
      <c r="B25" s="6" t="s">
        <v>47</v>
      </c>
      <c r="C25" s="6" t="s">
        <v>48</v>
      </c>
      <c r="D25" s="6" t="s">
        <v>11</v>
      </c>
      <c r="E25" s="7">
        <v>38685.0</v>
      </c>
      <c r="F25" s="8">
        <f t="shared" si="1"/>
        <v>17</v>
      </c>
      <c r="G25" s="9">
        <v>42800.0</v>
      </c>
      <c r="H25" s="6" t="s">
        <v>12</v>
      </c>
    </row>
    <row r="26" ht="15.75" customHeight="1">
      <c r="B26" s="6" t="s">
        <v>49</v>
      </c>
      <c r="C26" s="6" t="s">
        <v>27</v>
      </c>
      <c r="D26" s="6" t="s">
        <v>23</v>
      </c>
      <c r="E26" s="7">
        <v>41551.0</v>
      </c>
      <c r="F26" s="8">
        <f t="shared" si="1"/>
        <v>9</v>
      </c>
      <c r="G26" s="9">
        <v>80050.0</v>
      </c>
      <c r="H26" s="6" t="s">
        <v>12</v>
      </c>
    </row>
    <row r="27" ht="15.75" customHeight="1">
      <c r="B27" s="6" t="s">
        <v>50</v>
      </c>
      <c r="C27" s="6" t="s">
        <v>10</v>
      </c>
      <c r="D27" s="6" t="s">
        <v>11</v>
      </c>
      <c r="E27" s="7">
        <v>37515.0</v>
      </c>
      <c r="F27" s="8">
        <f t="shared" si="1"/>
        <v>20</v>
      </c>
      <c r="G27" s="9">
        <v>48250.0</v>
      </c>
      <c r="H27" s="6" t="s">
        <v>12</v>
      </c>
    </row>
    <row r="28" ht="15.75" customHeight="1">
      <c r="B28" s="6" t="s">
        <v>51</v>
      </c>
      <c r="C28" s="6" t="s">
        <v>39</v>
      </c>
      <c r="D28" s="6" t="s">
        <v>11</v>
      </c>
      <c r="E28" s="7">
        <v>42210.0</v>
      </c>
      <c r="F28" s="8">
        <f t="shared" si="1"/>
        <v>7</v>
      </c>
      <c r="G28" s="9">
        <v>87980.0</v>
      </c>
      <c r="H28" s="6" t="s">
        <v>12</v>
      </c>
    </row>
    <row r="29" ht="15.75" customHeight="1">
      <c r="B29" s="6" t="s">
        <v>52</v>
      </c>
      <c r="C29" s="6" t="s">
        <v>10</v>
      </c>
      <c r="D29" s="6" t="s">
        <v>11</v>
      </c>
      <c r="E29" s="7">
        <v>40086.0</v>
      </c>
      <c r="F29" s="8">
        <f t="shared" si="1"/>
        <v>13</v>
      </c>
      <c r="G29" s="9">
        <v>87030.0</v>
      </c>
      <c r="H29" s="6" t="s">
        <v>18</v>
      </c>
    </row>
    <row r="30" ht="15.75" customHeight="1">
      <c r="B30" s="6" t="s">
        <v>53</v>
      </c>
      <c r="C30" s="6" t="s">
        <v>10</v>
      </c>
      <c r="D30" s="6" t="s">
        <v>34</v>
      </c>
      <c r="E30" s="7">
        <v>38712.0</v>
      </c>
      <c r="F30" s="8">
        <f t="shared" si="1"/>
        <v>17</v>
      </c>
      <c r="G30" s="9">
        <v>21648.0</v>
      </c>
      <c r="H30" s="6" t="s">
        <v>18</v>
      </c>
    </row>
    <row r="31" ht="15.75" customHeight="1">
      <c r="B31" s="6" t="s">
        <v>54</v>
      </c>
      <c r="C31" s="6" t="s">
        <v>25</v>
      </c>
      <c r="D31" s="6" t="s">
        <v>11</v>
      </c>
      <c r="E31" s="7">
        <v>37333.0</v>
      </c>
      <c r="F31" s="8">
        <f t="shared" si="1"/>
        <v>21</v>
      </c>
      <c r="G31" s="9">
        <v>37760.0</v>
      </c>
      <c r="H31" s="6" t="s">
        <v>12</v>
      </c>
    </row>
    <row r="32" ht="15.75" customHeight="1">
      <c r="B32" s="6" t="s">
        <v>55</v>
      </c>
      <c r="C32" s="6" t="s">
        <v>32</v>
      </c>
      <c r="D32" s="6" t="s">
        <v>11</v>
      </c>
      <c r="E32" s="7">
        <v>41265.0</v>
      </c>
      <c r="F32" s="8">
        <f t="shared" si="1"/>
        <v>10</v>
      </c>
      <c r="G32" s="9">
        <v>29760.0</v>
      </c>
      <c r="H32" s="6" t="s">
        <v>12</v>
      </c>
    </row>
    <row r="33" ht="15.75" customHeight="1">
      <c r="B33" s="6" t="s">
        <v>56</v>
      </c>
      <c r="C33" s="6" t="s">
        <v>10</v>
      </c>
      <c r="D33" s="6" t="s">
        <v>34</v>
      </c>
      <c r="E33" s="7">
        <v>36862.0</v>
      </c>
      <c r="F33" s="8">
        <f t="shared" si="1"/>
        <v>22</v>
      </c>
      <c r="G33" s="9">
        <v>12836.0</v>
      </c>
      <c r="H33" s="6" t="s">
        <v>18</v>
      </c>
    </row>
    <row r="34" ht="15.75" customHeight="1">
      <c r="B34" s="6" t="s">
        <v>57</v>
      </c>
      <c r="C34" s="6" t="s">
        <v>16</v>
      </c>
      <c r="D34" s="6" t="s">
        <v>11</v>
      </c>
      <c r="E34" s="7">
        <v>40684.0</v>
      </c>
      <c r="F34" s="8">
        <f t="shared" si="1"/>
        <v>12</v>
      </c>
      <c r="G34" s="9">
        <v>47350.0</v>
      </c>
      <c r="H34" s="6" t="s">
        <v>18</v>
      </c>
    </row>
    <row r="35" ht="15.75" customHeight="1">
      <c r="B35" s="6" t="s">
        <v>58</v>
      </c>
      <c r="C35" s="6" t="s">
        <v>59</v>
      </c>
      <c r="D35" s="6" t="s">
        <v>11</v>
      </c>
      <c r="E35" s="7">
        <v>37117.0</v>
      </c>
      <c r="F35" s="8">
        <f t="shared" si="1"/>
        <v>21</v>
      </c>
      <c r="G35" s="9">
        <v>49770.0</v>
      </c>
      <c r="H35" s="6" t="s">
        <v>18</v>
      </c>
    </row>
    <row r="36" ht="15.75" customHeight="1">
      <c r="B36" s="6" t="s">
        <v>60</v>
      </c>
      <c r="C36" s="6" t="s">
        <v>37</v>
      </c>
      <c r="D36" s="6" t="s">
        <v>11</v>
      </c>
      <c r="E36" s="7">
        <v>37550.0</v>
      </c>
      <c r="F36" s="8">
        <f t="shared" si="1"/>
        <v>20</v>
      </c>
      <c r="G36" s="9">
        <v>35460.0</v>
      </c>
      <c r="H36" s="6" t="s">
        <v>18</v>
      </c>
    </row>
    <row r="37" ht="15.75" customHeight="1">
      <c r="B37" s="6" t="s">
        <v>61</v>
      </c>
      <c r="C37" s="6" t="s">
        <v>25</v>
      </c>
      <c r="D37" s="6" t="s">
        <v>11</v>
      </c>
      <c r="E37" s="7">
        <v>40656.0</v>
      </c>
      <c r="F37" s="8">
        <f t="shared" si="1"/>
        <v>12</v>
      </c>
      <c r="G37" s="9">
        <v>34480.0</v>
      </c>
      <c r="H37" s="6" t="s">
        <v>18</v>
      </c>
    </row>
    <row r="38" ht="15.75" customHeight="1">
      <c r="B38" s="6" t="s">
        <v>62</v>
      </c>
      <c r="C38" s="6" t="s">
        <v>63</v>
      </c>
      <c r="D38" s="6" t="s">
        <v>11</v>
      </c>
      <c r="E38" s="7">
        <v>41819.0</v>
      </c>
      <c r="F38" s="8">
        <f t="shared" si="1"/>
        <v>8</v>
      </c>
      <c r="G38" s="9">
        <v>44560.0</v>
      </c>
      <c r="H38" s="6" t="s">
        <v>12</v>
      </c>
    </row>
    <row r="39" ht="15.75" customHeight="1">
      <c r="B39" s="6" t="s">
        <v>64</v>
      </c>
      <c r="C39" s="6" t="s">
        <v>63</v>
      </c>
      <c r="D39" s="6" t="s">
        <v>11</v>
      </c>
      <c r="E39" s="7">
        <v>41552.0</v>
      </c>
      <c r="F39" s="8">
        <f t="shared" si="1"/>
        <v>9</v>
      </c>
      <c r="G39" s="9">
        <v>71730.0</v>
      </c>
      <c r="H39" s="6" t="s">
        <v>18</v>
      </c>
    </row>
    <row r="40" ht="15.75" customHeight="1">
      <c r="B40" s="6" t="s">
        <v>65</v>
      </c>
      <c r="C40" s="6" t="s">
        <v>16</v>
      </c>
      <c r="D40" s="6" t="s">
        <v>23</v>
      </c>
      <c r="E40" s="7">
        <v>38642.0</v>
      </c>
      <c r="F40" s="8">
        <f t="shared" si="1"/>
        <v>17</v>
      </c>
      <c r="G40" s="9">
        <v>31970.0</v>
      </c>
      <c r="H40" s="6" t="s">
        <v>12</v>
      </c>
    </row>
    <row r="41" ht="15.75" customHeight="1">
      <c r="B41" s="6" t="s">
        <v>66</v>
      </c>
      <c r="C41" s="6" t="s">
        <v>25</v>
      </c>
      <c r="D41" s="6" t="s">
        <v>11</v>
      </c>
      <c r="E41" s="7">
        <v>38069.0</v>
      </c>
      <c r="F41" s="8">
        <f t="shared" si="1"/>
        <v>19</v>
      </c>
      <c r="G41" s="9">
        <v>66010.0</v>
      </c>
      <c r="H41" s="6" t="s">
        <v>12</v>
      </c>
    </row>
    <row r="42" ht="15.75" customHeight="1">
      <c r="B42" s="6" t="s">
        <v>67</v>
      </c>
      <c r="C42" s="6" t="s">
        <v>10</v>
      </c>
      <c r="D42" s="6" t="s">
        <v>29</v>
      </c>
      <c r="E42" s="7">
        <v>38471.0</v>
      </c>
      <c r="F42" s="8">
        <f t="shared" si="1"/>
        <v>18</v>
      </c>
      <c r="G42" s="9">
        <v>33810.0</v>
      </c>
      <c r="H42" s="6" t="s">
        <v>12</v>
      </c>
    </row>
    <row r="43" ht="15.75" customHeight="1">
      <c r="B43" s="6" t="s">
        <v>68</v>
      </c>
      <c r="C43" s="6" t="s">
        <v>25</v>
      </c>
      <c r="D43" s="6" t="s">
        <v>29</v>
      </c>
      <c r="E43" s="7">
        <v>36808.0</v>
      </c>
      <c r="F43" s="8">
        <f t="shared" si="1"/>
        <v>22</v>
      </c>
      <c r="G43" s="9">
        <v>48835.0</v>
      </c>
      <c r="H43" s="6" t="s">
        <v>12</v>
      </c>
    </row>
    <row r="44" ht="15.75" customHeight="1">
      <c r="B44" s="6" t="s">
        <v>69</v>
      </c>
      <c r="C44" s="6" t="s">
        <v>32</v>
      </c>
      <c r="D44" s="6" t="s">
        <v>11</v>
      </c>
      <c r="E44" s="7">
        <v>41333.0</v>
      </c>
      <c r="F44" s="8">
        <f t="shared" si="1"/>
        <v>10</v>
      </c>
      <c r="G44" s="9">
        <v>47340.0</v>
      </c>
      <c r="H44" s="6" t="s">
        <v>12</v>
      </c>
    </row>
    <row r="45" ht="15.75" customHeight="1">
      <c r="B45" s="6" t="s">
        <v>70</v>
      </c>
      <c r="C45" s="6" t="s">
        <v>37</v>
      </c>
      <c r="D45" s="6" t="s">
        <v>29</v>
      </c>
      <c r="E45" s="7">
        <v>41411.0</v>
      </c>
      <c r="F45" s="8">
        <f t="shared" si="1"/>
        <v>10</v>
      </c>
      <c r="G45" s="9">
        <v>38105.0</v>
      </c>
      <c r="H45" s="6" t="s">
        <v>12</v>
      </c>
    </row>
    <row r="46" ht="15.75" customHeight="1">
      <c r="B46" s="6" t="s">
        <v>71</v>
      </c>
      <c r="C46" s="6" t="s">
        <v>37</v>
      </c>
      <c r="D46" s="6" t="s">
        <v>11</v>
      </c>
      <c r="E46" s="7">
        <v>37673.0</v>
      </c>
      <c r="F46" s="8">
        <f t="shared" si="1"/>
        <v>20</v>
      </c>
      <c r="G46" s="9">
        <v>65320.0</v>
      </c>
      <c r="H46" s="6" t="s">
        <v>12</v>
      </c>
    </row>
    <row r="47" ht="15.75" customHeight="1">
      <c r="B47" s="6" t="s">
        <v>72</v>
      </c>
      <c r="C47" s="6" t="s">
        <v>73</v>
      </c>
      <c r="D47" s="6" t="s">
        <v>11</v>
      </c>
      <c r="E47" s="7">
        <v>42019.0</v>
      </c>
      <c r="F47" s="8">
        <f t="shared" si="1"/>
        <v>8</v>
      </c>
      <c r="G47" s="9">
        <v>46220.0</v>
      </c>
      <c r="H47" s="6" t="s">
        <v>12</v>
      </c>
    </row>
    <row r="48" ht="15.75" customHeight="1">
      <c r="B48" s="6" t="s">
        <v>74</v>
      </c>
      <c r="C48" s="6" t="s">
        <v>75</v>
      </c>
      <c r="D48" s="6" t="s">
        <v>11</v>
      </c>
      <c r="E48" s="7">
        <v>38961.0</v>
      </c>
      <c r="F48" s="8">
        <f t="shared" si="1"/>
        <v>16</v>
      </c>
      <c r="G48" s="9">
        <v>66890.0</v>
      </c>
      <c r="H48" s="6" t="s">
        <v>12</v>
      </c>
    </row>
    <row r="49" ht="15.75" customHeight="1">
      <c r="B49" s="6" t="s">
        <v>76</v>
      </c>
      <c r="C49" s="6" t="s">
        <v>25</v>
      </c>
      <c r="D49" s="6" t="s">
        <v>23</v>
      </c>
      <c r="E49" s="7">
        <v>40379.0</v>
      </c>
      <c r="F49" s="8">
        <f t="shared" si="1"/>
        <v>12</v>
      </c>
      <c r="G49" s="9">
        <v>35460.0</v>
      </c>
      <c r="H49" s="6" t="s">
        <v>12</v>
      </c>
    </row>
    <row r="50" ht="15.75" customHeight="1">
      <c r="B50" s="6" t="s">
        <v>77</v>
      </c>
      <c r="C50" s="6" t="s">
        <v>10</v>
      </c>
      <c r="D50" s="6" t="s">
        <v>11</v>
      </c>
      <c r="E50" s="7">
        <v>41371.0</v>
      </c>
      <c r="F50" s="8">
        <f t="shared" si="1"/>
        <v>10</v>
      </c>
      <c r="G50" s="9">
        <v>66840.0</v>
      </c>
      <c r="H50" s="6" t="s">
        <v>18</v>
      </c>
    </row>
    <row r="51" ht="15.75" customHeight="1">
      <c r="B51" s="6" t="s">
        <v>78</v>
      </c>
      <c r="C51" s="6" t="s">
        <v>25</v>
      </c>
      <c r="D51" s="6" t="s">
        <v>23</v>
      </c>
      <c r="E51" s="7">
        <v>41474.0</v>
      </c>
      <c r="F51" s="8">
        <f t="shared" si="1"/>
        <v>9</v>
      </c>
      <c r="G51" s="9">
        <v>28260.0</v>
      </c>
      <c r="H51" s="6" t="s">
        <v>12</v>
      </c>
    </row>
    <row r="52" ht="15.75" customHeight="1">
      <c r="B52" s="6" t="s">
        <v>79</v>
      </c>
      <c r="C52" s="6" t="s">
        <v>25</v>
      </c>
      <c r="D52" s="6" t="s">
        <v>23</v>
      </c>
      <c r="E52" s="7">
        <v>40145.0</v>
      </c>
      <c r="F52" s="8">
        <f t="shared" si="1"/>
        <v>13</v>
      </c>
      <c r="G52" s="9">
        <v>64430.0</v>
      </c>
      <c r="H52" s="6" t="s">
        <v>12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H$52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2026-10-26T09:13:16Z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