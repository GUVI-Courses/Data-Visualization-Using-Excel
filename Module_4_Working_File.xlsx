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ance Excel 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<sst xmlns="http://schemas.openxmlformats.org/spreadsheetml/2006/main" count="126" uniqueCount="34">
  <si>
    <t xml:space="preserve">DSUM &amp; DCOUNT AGGREGATE FUNCTION</t>
  </si>
  <si>
    <t xml:space="preserve">SUMIFS &amp; COUNTIFS FUNCTION</t>
  </si>
  <si>
    <t xml:space="preserve">Product</t>
  </si>
  <si>
    <t xml:space="preserve">Country</t>
  </si>
  <si>
    <t xml:space="preserve">Quantity</t>
  </si>
  <si>
    <t xml:space="preserve">Count</t>
  </si>
  <si>
    <t xml:space="preserve">Region</t>
  </si>
  <si>
    <t xml:space="preserve">Total</t>
  </si>
  <si>
    <t xml:space="preserve">Chairs</t>
  </si>
  <si>
    <t xml:space="preserve">Mexico</t>
  </si>
  <si>
    <t xml:space="preserve">West</t>
  </si>
  <si>
    <t xml:space="preserve">Tables</t>
  </si>
  <si>
    <t xml:space="preserve">South</t>
  </si>
  <si>
    <t xml:space="preserve">B4:C5 = criteria range. D5 = DSUM (Quantity), E5 = DCOUNTA (record count).</t>
  </si>
  <si>
    <t xml:space="preserve">Segment</t>
  </si>
  <si>
    <t xml:space="preserve">Sales</t>
  </si>
  <si>
    <t xml:space="preserve">Government</t>
  </si>
  <si>
    <t xml:space="preserve">Canada</t>
  </si>
  <si>
    <t xml:space="preserve">Bookcases</t>
  </si>
  <si>
    <t xml:space="preserve">Midmarket</t>
  </si>
  <si>
    <t xml:space="preserve">United States</t>
  </si>
  <si>
    <t xml:space="preserve">Appliances</t>
  </si>
  <si>
    <t xml:space="preserve">sum</t>
  </si>
  <si>
    <t xml:space="preserve">Germany</t>
  </si>
  <si>
    <t xml:space="preserve">sumif</t>
  </si>
  <si>
    <t xml:space="preserve">France</t>
  </si>
  <si>
    <t xml:space="preserve">count</t>
  </si>
  <si>
    <t xml:space="preserve">Channel Partners</t>
  </si>
  <si>
    <t xml:space="preserve">Binders</t>
  </si>
  <si>
    <t xml:space="preserve">counta</t>
  </si>
  <si>
    <t xml:space="preserve">Phones</t>
  </si>
  <si>
    <t xml:space="preserve">countif</t>
  </si>
  <si>
    <t xml:space="preserve">Enterprise</t>
  </si>
  <si>
    <t xml:space="preserve">Small Business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</si>
</sst>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&gt;=10000000]&quot;$ &quot;##\,##\,##\,##0.00;[&gt;=100000]&quot;$ &quot;##\,##\,##0.00;&quot;$ &quot;##,##0.00"/>
    <numFmt numFmtId="166" formatCode="&quot;$ &quot;#,##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7F7F7F"/>
        <bgColor rgb="FF969696"/>
      </patternFill>
    </fill>
    <fill>
      <patternFill patternType="solid">
        <fgColor rgb="FF4472C4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FBE5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D7D31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472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H8:M21" headerRowCount="1" totalsRowCount="0" totalsRowShown="0">
  <autoFilter ref="H8:M21"/>
  <tableColumns count="6">
    <tableColumn id="1" name="Segment"/>
    <tableColumn id="2" name="Country"/>
    <tableColumn id="3" name="Region"/>
    <tableColumn id="4" name="Product"/>
    <tableColumn id="5" name="Sales"/>
    <tableColumn id="6" name="Quantity"/>
  </tableColumns>
</table>
</file>

<file path=xl/tables/table2.xml><?xml version="1.0" encoding="utf-8"?>
<table xmlns="http://schemas.openxmlformats.org/spreadsheetml/2006/main" id="2" name="Table2" displayName="Table2" ref="B8:F21" headerRowCount="1" totalsRowCount="0" totalsRowShown="0">
  <autoFilter ref="B8:F21"/>
  <tableColumns count="5">
    <tableColumn id="1" name="Segment"/>
    <tableColumn id="2" name="Country"/>
    <tableColumn id="3" name="Product"/>
    <tableColumn id="4" name="Quantity"/>
    <tableColumn id="5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6" min="14" style="0" width="10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H2" s="1" t="s">
        <v>1</v>
      </c>
      <c r="I2" s="1"/>
      <c r="J2" s="1"/>
    </row>
    <row r="4" customFormat="false" ht="15" hidden="false" customHeight="false" outlineLevel="0" collapsed="false">
      <c r="B4" s="2" t="s">
        <v>2</v>
      </c>
      <c r="C4" s="2" t="s">
        <v>3</v>
      </c>
      <c r="D4" s="2" t="s">
        <v>4</v>
      </c>
      <c r="E4" s="2" t="s">
        <v>5</v>
      </c>
      <c r="H4" s="2" t="s">
        <v>2</v>
      </c>
      <c r="I4" s="2" t="s">
        <v>6</v>
      </c>
      <c r="J4" s="2" t="s">
        <v>4</v>
      </c>
      <c r="L4" s="2" t="s">
        <v>2</v>
      </c>
      <c r="M4" s="2" t="s">
        <v>6</v>
      </c>
      <c r="N4" s="2" t="s">
        <v>7</v>
      </c>
    </row>
    <row r="5" customFormat="false" ht="15" hidden="false" customHeight="false" outlineLevel="0" collapsed="false">
      <c r="B5" s="3" t="s">
        <v>8</v>
      </c>
      <c r="C5" s="3" t="s">
        <v>9</v>
      </c>
      <c r="D5" s="3" t="n">
        <f aca="false">DSUM(Table2[#All],D4,B4:C5)</f>
        <v>398</v>
      </c>
      <c r="E5" s="3" t="n">
        <f aca="false">DCOUNTA(Table2[#All],Table2[[#Headers],[Quantity]],B4:C5)</f>
        <v>2</v>
      </c>
      <c r="H5" s="3" t="s">
        <v>8</v>
      </c>
      <c r="I5" s="3" t="s">
        <v>10</v>
      </c>
      <c r="J5" s="3" t="n">
        <f aca="false">SUMIFS(Table1[Quantity],Table1[Product],H5,Table1[Region],I5)</f>
        <v>12</v>
      </c>
      <c r="L5" s="3" t="s">
        <v>11</v>
      </c>
      <c r="M5" s="3" t="s">
        <v>12</v>
      </c>
      <c r="N5" s="3" t="n">
        <f aca="false">COUNTIFS(Table1[Product],L5,Table1[Region],M5)</f>
        <v>1</v>
      </c>
    </row>
    <row r="6" customFormat="false" ht="15" hidden="false" customHeight="false" outlineLevel="0" collapsed="false">
      <c r="B6" s="4" t="s">
        <v>13</v>
      </c>
    </row>
    <row r="8" customFormat="false" ht="15" hidden="false" customHeight="false" outlineLevel="0" collapsed="false">
      <c r="B8" s="5" t="s">
        <v>14</v>
      </c>
      <c r="C8" s="5" t="s">
        <v>3</v>
      </c>
      <c r="D8" s="5" t="s">
        <v>2</v>
      </c>
      <c r="E8" s="5" t="s">
        <v>4</v>
      </c>
      <c r="F8" s="5" t="s">
        <v>15</v>
      </c>
      <c r="H8" s="6" t="s">
        <v>14</v>
      </c>
      <c r="I8" s="6" t="s">
        <v>3</v>
      </c>
      <c r="J8" s="6" t="s">
        <v>6</v>
      </c>
      <c r="K8" s="6" t="s">
        <v>2</v>
      </c>
      <c r="L8" s="6" t="s">
        <v>15</v>
      </c>
      <c r="M8" s="6" t="s">
        <v>4</v>
      </c>
    </row>
    <row r="9" customFormat="false" ht="15" hidden="false" customHeight="false" outlineLevel="0" collapsed="false">
      <c r="B9" s="7" t="s">
        <v>16</v>
      </c>
      <c r="C9" s="7" t="s">
        <v>17</v>
      </c>
      <c r="D9" s="7" t="s">
        <v>18</v>
      </c>
      <c r="E9" s="7" t="n">
        <v>161</v>
      </c>
      <c r="F9" s="8" t="n">
        <v>32370</v>
      </c>
      <c r="H9" s="9" t="s">
        <v>19</v>
      </c>
      <c r="I9" s="9" t="s">
        <v>20</v>
      </c>
      <c r="J9" s="9" t="s">
        <v>12</v>
      </c>
      <c r="K9" s="9" t="s">
        <v>21</v>
      </c>
      <c r="L9" s="10" t="n">
        <v>262</v>
      </c>
      <c r="M9" s="9" t="n">
        <v>2</v>
      </c>
      <c r="O9" s="11" t="s">
        <v>22</v>
      </c>
      <c r="P9" s="12" t="n">
        <f aca="false">SUM(Table1[Quantity])</f>
        <v>55</v>
      </c>
    </row>
    <row r="10" customFormat="false" ht="15" hidden="false" customHeight="false" outlineLevel="0" collapsed="false">
      <c r="B10" s="7" t="s">
        <v>16</v>
      </c>
      <c r="C10" s="7" t="s">
        <v>23</v>
      </c>
      <c r="D10" s="7" t="s">
        <v>8</v>
      </c>
      <c r="E10" s="7" t="n">
        <v>132</v>
      </c>
      <c r="F10" s="8" t="n">
        <v>26420</v>
      </c>
      <c r="H10" s="9" t="s">
        <v>16</v>
      </c>
      <c r="I10" s="9" t="s">
        <v>20</v>
      </c>
      <c r="J10" s="9" t="s">
        <v>12</v>
      </c>
      <c r="K10" s="9" t="s">
        <v>8</v>
      </c>
      <c r="L10" s="10" t="n">
        <v>732</v>
      </c>
      <c r="M10" s="9" t="n">
        <v>3</v>
      </c>
      <c r="O10" s="11" t="s">
        <v>24</v>
      </c>
      <c r="P10" s="12" t="n">
        <f aca="false">SUMIF(Table1[Region],M5,Table1[Quantity])</f>
        <v>15</v>
      </c>
    </row>
    <row r="11" customFormat="false" ht="15" hidden="false" customHeight="false" outlineLevel="0" collapsed="false">
      <c r="B11" s="7" t="s">
        <v>19</v>
      </c>
      <c r="C11" s="7" t="s">
        <v>25</v>
      </c>
      <c r="D11" s="7" t="s">
        <v>21</v>
      </c>
      <c r="E11" s="7" t="n">
        <v>217</v>
      </c>
      <c r="F11" s="8" t="n">
        <v>32670</v>
      </c>
      <c r="H11" s="9" t="s">
        <v>19</v>
      </c>
      <c r="I11" s="9" t="s">
        <v>20</v>
      </c>
      <c r="J11" s="9" t="s">
        <v>10</v>
      </c>
      <c r="K11" s="9" t="s">
        <v>11</v>
      </c>
      <c r="L11" s="10" t="n">
        <v>15</v>
      </c>
      <c r="M11" s="9" t="n">
        <v>2</v>
      </c>
      <c r="O11" s="11" t="s">
        <v>26</v>
      </c>
      <c r="P11" s="12" t="n">
        <f aca="false">COUNT(Table1[Quantity])</f>
        <v>13</v>
      </c>
    </row>
    <row r="12" customFormat="false" ht="15" hidden="false" customHeight="false" outlineLevel="0" collapsed="false">
      <c r="B12" s="7" t="s">
        <v>19</v>
      </c>
      <c r="C12" s="7" t="s">
        <v>23</v>
      </c>
      <c r="D12" s="7" t="s">
        <v>11</v>
      </c>
      <c r="E12" s="7" t="n">
        <v>88</v>
      </c>
      <c r="F12" s="8" t="n">
        <v>13320</v>
      </c>
      <c r="H12" s="9" t="s">
        <v>27</v>
      </c>
      <c r="I12" s="9" t="s">
        <v>20</v>
      </c>
      <c r="J12" s="9" t="s">
        <v>12</v>
      </c>
      <c r="K12" s="9" t="s">
        <v>28</v>
      </c>
      <c r="L12" s="10" t="n">
        <v>958</v>
      </c>
      <c r="M12" s="9" t="n">
        <v>5</v>
      </c>
      <c r="O12" s="11" t="s">
        <v>29</v>
      </c>
      <c r="P12" s="12" t="n">
        <f aca="false">COUNTA(Table1[Product])</f>
        <v>13</v>
      </c>
    </row>
    <row r="13" customFormat="false" ht="15" hidden="false" customHeight="false" outlineLevel="0" collapsed="false">
      <c r="B13" s="7" t="s">
        <v>19</v>
      </c>
      <c r="C13" s="7" t="s">
        <v>9</v>
      </c>
      <c r="D13" s="7" t="s">
        <v>30</v>
      </c>
      <c r="E13" s="7" t="n">
        <v>247</v>
      </c>
      <c r="F13" s="8" t="n">
        <v>37050</v>
      </c>
      <c r="H13" s="9" t="s">
        <v>16</v>
      </c>
      <c r="I13" s="9" t="s">
        <v>20</v>
      </c>
      <c r="J13" s="9" t="s">
        <v>12</v>
      </c>
      <c r="K13" s="9" t="s">
        <v>21</v>
      </c>
      <c r="L13" s="10" t="n">
        <v>22</v>
      </c>
      <c r="M13" s="9" t="n">
        <v>2</v>
      </c>
      <c r="O13" s="11" t="s">
        <v>31</v>
      </c>
      <c r="P13" s="12" t="n">
        <f aca="false">COUNTIF(Table1[Product],"Appliances")</f>
        <v>3</v>
      </c>
    </row>
    <row r="14" customFormat="false" ht="15" hidden="false" customHeight="false" outlineLevel="0" collapsed="false">
      <c r="B14" s="7" t="s">
        <v>16</v>
      </c>
      <c r="C14" s="7" t="s">
        <v>9</v>
      </c>
      <c r="D14" s="7" t="s">
        <v>8</v>
      </c>
      <c r="E14" s="7" t="n">
        <v>151</v>
      </c>
      <c r="F14" s="8" t="n">
        <v>529550</v>
      </c>
      <c r="H14" s="9" t="s">
        <v>27</v>
      </c>
      <c r="I14" s="9" t="s">
        <v>20</v>
      </c>
      <c r="J14" s="9" t="s">
        <v>10</v>
      </c>
      <c r="K14" s="9" t="s">
        <v>8</v>
      </c>
      <c r="L14" s="10" t="n">
        <v>49</v>
      </c>
      <c r="M14" s="9" t="n">
        <v>7</v>
      </c>
    </row>
    <row r="15" customFormat="false" ht="15" hidden="false" customHeight="false" outlineLevel="0" collapsed="false">
      <c r="B15" s="7" t="s">
        <v>19</v>
      </c>
      <c r="C15" s="7" t="s">
        <v>23</v>
      </c>
      <c r="D15" s="7" t="s">
        <v>18</v>
      </c>
      <c r="E15" s="7" t="n">
        <v>92</v>
      </c>
      <c r="F15" s="8" t="n">
        <v>13815</v>
      </c>
      <c r="H15" s="9" t="s">
        <v>19</v>
      </c>
      <c r="I15" s="9" t="s">
        <v>20</v>
      </c>
      <c r="J15" s="9" t="s">
        <v>10</v>
      </c>
      <c r="K15" s="9" t="s">
        <v>28</v>
      </c>
      <c r="L15" s="10" t="n">
        <v>7</v>
      </c>
      <c r="M15" s="9" t="n">
        <v>4</v>
      </c>
    </row>
    <row r="16" customFormat="false" ht="15" hidden="false" customHeight="false" outlineLevel="0" collapsed="false">
      <c r="B16" s="7" t="s">
        <v>27</v>
      </c>
      <c r="C16" s="7" t="s">
        <v>17</v>
      </c>
      <c r="D16" s="7" t="s">
        <v>11</v>
      </c>
      <c r="E16" s="7" t="n">
        <v>251</v>
      </c>
      <c r="F16" s="8" t="n">
        <v>30216</v>
      </c>
      <c r="H16" s="9" t="s">
        <v>32</v>
      </c>
      <c r="I16" s="9" t="s">
        <v>20</v>
      </c>
      <c r="J16" s="9" t="s">
        <v>10</v>
      </c>
      <c r="K16" s="9" t="s">
        <v>28</v>
      </c>
      <c r="L16" s="10" t="n">
        <v>907</v>
      </c>
      <c r="M16" s="9" t="n">
        <v>6</v>
      </c>
    </row>
    <row r="17" customFormat="false" ht="15" hidden="false" customHeight="false" outlineLevel="0" collapsed="false">
      <c r="B17" s="7" t="s">
        <v>16</v>
      </c>
      <c r="C17" s="7" t="s">
        <v>25</v>
      </c>
      <c r="D17" s="7" t="s">
        <v>11</v>
      </c>
      <c r="E17" s="7" t="n">
        <v>189</v>
      </c>
      <c r="F17" s="8" t="n">
        <v>37980</v>
      </c>
      <c r="H17" s="9" t="s">
        <v>33</v>
      </c>
      <c r="I17" s="9" t="s">
        <v>20</v>
      </c>
      <c r="J17" s="9" t="s">
        <v>10</v>
      </c>
      <c r="K17" s="9" t="s">
        <v>11</v>
      </c>
      <c r="L17" s="10" t="n">
        <v>19</v>
      </c>
      <c r="M17" s="9" t="n">
        <v>3</v>
      </c>
    </row>
    <row r="18" customFormat="false" ht="15" hidden="false" customHeight="false" outlineLevel="0" collapsed="false">
      <c r="B18" s="7" t="s">
        <v>27</v>
      </c>
      <c r="C18" s="7" t="s">
        <v>23</v>
      </c>
      <c r="D18" s="7" t="s">
        <v>30</v>
      </c>
      <c r="E18" s="7" t="n">
        <v>154</v>
      </c>
      <c r="F18" s="8" t="n">
        <v>18540</v>
      </c>
      <c r="H18" s="9" t="s">
        <v>19</v>
      </c>
      <c r="I18" s="9" t="s">
        <v>20</v>
      </c>
      <c r="J18" s="9" t="s">
        <v>10</v>
      </c>
      <c r="K18" s="9" t="s">
        <v>8</v>
      </c>
      <c r="L18" s="10" t="n">
        <v>115</v>
      </c>
      <c r="M18" s="9" t="n">
        <v>5</v>
      </c>
    </row>
    <row r="19" customFormat="false" ht="15" hidden="false" customHeight="false" outlineLevel="0" collapsed="false">
      <c r="B19" s="7" t="s">
        <v>19</v>
      </c>
      <c r="C19" s="7" t="s">
        <v>9</v>
      </c>
      <c r="D19" s="7" t="s">
        <v>8</v>
      </c>
      <c r="E19" s="7" t="n">
        <v>247</v>
      </c>
      <c r="F19" s="8" t="n">
        <v>37050</v>
      </c>
      <c r="H19" s="9" t="s">
        <v>27</v>
      </c>
      <c r="I19" s="9" t="s">
        <v>20</v>
      </c>
      <c r="J19" s="9" t="s">
        <v>10</v>
      </c>
      <c r="K19" s="9" t="s">
        <v>28</v>
      </c>
      <c r="L19" s="10" t="n">
        <v>170</v>
      </c>
      <c r="M19" s="9" t="n">
        <v>9</v>
      </c>
    </row>
    <row r="20" customFormat="false" ht="15" hidden="false" customHeight="false" outlineLevel="0" collapsed="false">
      <c r="B20" s="7" t="s">
        <v>32</v>
      </c>
      <c r="C20" s="7" t="s">
        <v>17</v>
      </c>
      <c r="D20" s="7" t="s">
        <v>18</v>
      </c>
      <c r="E20" s="7" t="n">
        <v>266</v>
      </c>
      <c r="F20" s="8" t="n">
        <v>333187.5</v>
      </c>
      <c r="H20" s="9" t="s">
        <v>16</v>
      </c>
      <c r="I20" s="9" t="s">
        <v>20</v>
      </c>
      <c r="J20" s="9" t="s">
        <v>10</v>
      </c>
      <c r="K20" s="9" t="s">
        <v>21</v>
      </c>
      <c r="L20" s="10" t="n">
        <v>911</v>
      </c>
      <c r="M20" s="9" t="n">
        <v>4</v>
      </c>
    </row>
    <row r="21" customFormat="false" ht="15" hidden="false" customHeight="false" outlineLevel="0" collapsed="false">
      <c r="B21" s="7" t="s">
        <v>33</v>
      </c>
      <c r="C21" s="7" t="s">
        <v>9</v>
      </c>
      <c r="D21" s="7" t="s">
        <v>30</v>
      </c>
      <c r="E21" s="7" t="n">
        <v>95</v>
      </c>
      <c r="F21" s="8" t="n">
        <v>287400</v>
      </c>
      <c r="H21" s="9" t="s">
        <v>27</v>
      </c>
      <c r="I21" s="9" t="s">
        <v>20</v>
      </c>
      <c r="J21" s="9" t="s">
        <v>12</v>
      </c>
      <c r="K21" s="9" t="s">
        <v>11</v>
      </c>
      <c r="L21" s="10" t="n">
        <v>16</v>
      </c>
      <c r="M21" s="9" t="n">
        <v>3</v>
      </c>
    </row>
  </sheetData>
  <mergeCells count="2">
    <mergeCell ref="B2:E2"/>
    <mergeCell ref="H2:J2"/>
  </mergeCells>
  <dataValidations count="1">
    <dataValidation allowBlank="true" errorStyle="stop" operator="between" showDropDown="false" showErrorMessage="false" showInputMessage="false" sqref="H5 L5" type="list">
      <formula1>"Appliances,Chairs,Tables,Binders"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2026-10-26T11:47:34Z</dcterms:created>
  <dc:creator>openpyxl</dc:creator>
  <dc:description/>
  <dc:language>en-US</dc:language>
  <cp:lastModifiedBy/>
  <dcterms:modified xsi:type="dcterms:W3CDTF">2026-10-26T11:47:34Z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