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 CF" sheetId="1" r:id="rId4"/>
    <sheet state="visible" name="CF with Dropdown" sheetId="2" r:id="rId5"/>
  </sheets>
  <definedNames/>
  <calcPr/>
  <extLst>
    <ext uri="GoogleSheetsCustomDataVersion2">
      <go:sheetsCustomData xmlns:go="http://customooxmlschemas.google.com/" r:id="rId6" roundtripDataChecksum="TyVzOvkcS9XN7fimoivOsF6Xoweta9tCbzXx8SM5Egw="/>
    </ext>
  </extLst>
</workbook>
</file>

<file path=xl/sharedStrings.xml><?xml version="1.0" encoding="utf-8"?>
<sst xmlns="http://schemas.openxmlformats.org/spreadsheetml/2006/main" count="176" uniqueCount="118">
  <si>
    <t>Name</t>
  </si>
  <si>
    <t>Email</t>
  </si>
  <si>
    <t>City</t>
  </si>
  <si>
    <t>State</t>
  </si>
  <si>
    <t>Year</t>
  </si>
  <si>
    <t>TEST RESULTS</t>
  </si>
  <si>
    <t>Grade</t>
  </si>
  <si>
    <t>Marks</t>
  </si>
  <si>
    <t>Grade label</t>
  </si>
  <si>
    <t>Anupama</t>
  </si>
  <si>
    <t>Gouwda.Anupama@Org.co.fi</t>
  </si>
  <si>
    <t>Copperas</t>
  </si>
  <si>
    <t>CA</t>
  </si>
  <si>
    <t>Jun-20</t>
  </si>
  <si>
    <t>&lt;35</t>
  </si>
  <si>
    <t>Fail</t>
  </si>
  <si>
    <t>Benson</t>
  </si>
  <si>
    <t>Thomas.Benson@Org.co.fi</t>
  </si>
  <si>
    <t>Homestead</t>
  </si>
  <si>
    <t>SC</t>
  </si>
  <si>
    <t>Jun-22</t>
  </si>
  <si>
    <t>&gt;35</t>
  </si>
  <si>
    <t>Pass</t>
  </si>
  <si>
    <t>Terence</t>
  </si>
  <si>
    <t>Patterson.Terence@Org.co.fi</t>
  </si>
  <si>
    <t>Meadville</t>
  </si>
  <si>
    <t>Jun-21</t>
  </si>
  <si>
    <t>&gt;60</t>
  </si>
  <si>
    <t>First class</t>
  </si>
  <si>
    <t>Peggy</t>
  </si>
  <si>
    <t>Jones.Peggy@Org.co.fi</t>
  </si>
  <si>
    <t>East Elmhurst</t>
  </si>
  <si>
    <t>Jun-23</t>
  </si>
  <si>
    <t>&gt;85</t>
  </si>
  <si>
    <t>Distinction</t>
  </si>
  <si>
    <t>Dale</t>
  </si>
  <si>
    <t>Yeager.Dale@Org.co.fi</t>
  </si>
  <si>
    <t>Vista</t>
  </si>
  <si>
    <t>GA</t>
  </si>
  <si>
    <t>Ramon</t>
  </si>
  <si>
    <t>Sinclair.Ramon@Org.co.fi</t>
  </si>
  <si>
    <t>Stow</t>
  </si>
  <si>
    <t>John</t>
  </si>
  <si>
    <t>Clark.John@Org.co.fi</t>
  </si>
  <si>
    <t>Ronkonkoma</t>
  </si>
  <si>
    <t>Ernest</t>
  </si>
  <si>
    <t>Pritchard.Ernest@Org.co.fi</t>
  </si>
  <si>
    <t>Royersford</t>
  </si>
  <si>
    <t>Janet</t>
  </si>
  <si>
    <t>Schultz.Janet@Org.co.fi</t>
  </si>
  <si>
    <t>Jonesborough</t>
  </si>
  <si>
    <t>Glenda</t>
  </si>
  <si>
    <t>Hart.Glenda@Org.co.fi</t>
  </si>
  <si>
    <t>Wethersfield</t>
  </si>
  <si>
    <t>Maisa</t>
  </si>
  <si>
    <t>Dunson.Maisa@Org.co.fi</t>
  </si>
  <si>
    <t>Stuart</t>
  </si>
  <si>
    <t>Obrien</t>
  </si>
  <si>
    <t>Talha.Obrien@Org.co.fi</t>
  </si>
  <si>
    <t>Allen Park</t>
  </si>
  <si>
    <t>Gardner</t>
  </si>
  <si>
    <t>Sam.Gardner@Org.co.fi</t>
  </si>
  <si>
    <t>Griffin</t>
  </si>
  <si>
    <t>Wise</t>
  </si>
  <si>
    <t>Henrietta.Wise@Org.co.fi</t>
  </si>
  <si>
    <t>Jupiter</t>
  </si>
  <si>
    <t>Baird</t>
  </si>
  <si>
    <t>Georgia.Baird@Org.co.fi</t>
  </si>
  <si>
    <t>Ashtabula</t>
  </si>
  <si>
    <t>Sullivan</t>
  </si>
  <si>
    <t>Paul.Sullivan@Org.co.fi</t>
  </si>
  <si>
    <t>Dublin</t>
  </si>
  <si>
    <t>Hampton</t>
  </si>
  <si>
    <t>Teresa.Hampton@Org.co.fi</t>
  </si>
  <si>
    <t>West Hempstead</t>
  </si>
  <si>
    <t>Li</t>
  </si>
  <si>
    <t>Juanita.Li@Org.co.fi</t>
  </si>
  <si>
    <t>Kent</t>
  </si>
  <si>
    <t>Morris</t>
  </si>
  <si>
    <t>Tiana.Morris@Org.co.fi</t>
  </si>
  <si>
    <t>West Bloomfield</t>
  </si>
  <si>
    <t>Griffith</t>
  </si>
  <si>
    <t>Caitlyn.Griffith@Org.co.fi</t>
  </si>
  <si>
    <t>Fenton</t>
  </si>
  <si>
    <t>Haas</t>
  </si>
  <si>
    <t>Shayla.Haas@Org.co.fi</t>
  </si>
  <si>
    <t>Asbury Park</t>
  </si>
  <si>
    <t>Roach</t>
  </si>
  <si>
    <t>Florence.Roach@Org.co.fi</t>
  </si>
  <si>
    <t>Mount Laurel</t>
  </si>
  <si>
    <t>Hoover</t>
  </si>
  <si>
    <t>Yousuf.Hoover@Org.co.fi</t>
  </si>
  <si>
    <t>Hightstown</t>
  </si>
  <si>
    <t>Phillips</t>
  </si>
  <si>
    <t>Jean.Phillips@Org.co.fi</t>
  </si>
  <si>
    <t>Marlborough</t>
  </si>
  <si>
    <t>Fox</t>
  </si>
  <si>
    <t>Umar.Fox@Org.co.fi</t>
  </si>
  <si>
    <t>Roy</t>
  </si>
  <si>
    <t>Payne</t>
  </si>
  <si>
    <t>Layla.Payne@Org.co.fi</t>
  </si>
  <si>
    <t>Elizabethton</t>
  </si>
  <si>
    <t>Tasks</t>
  </si>
  <si>
    <t>Topics</t>
  </si>
  <si>
    <t>Status</t>
  </si>
  <si>
    <t>Dropdown list</t>
  </si>
  <si>
    <t>Introduction</t>
  </si>
  <si>
    <t>Module 1</t>
  </si>
  <si>
    <t>Completed</t>
  </si>
  <si>
    <t>Objectives</t>
  </si>
  <si>
    <t>Module 3</t>
  </si>
  <si>
    <t>In Progress</t>
  </si>
  <si>
    <t>Description</t>
  </si>
  <si>
    <t>Module 2</t>
  </si>
  <si>
    <t>Pending</t>
  </si>
  <si>
    <t>Summary</t>
  </si>
  <si>
    <t>Explanation</t>
  </si>
  <si>
    <t>Correction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</si>
</sst>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32.0"/>
    <col customWidth="1" min="4" max="4" width="18.0"/>
    <col customWidth="1" min="5" max="5" width="8.0"/>
    <col customWidth="1" min="6" max="6" width="10.0"/>
    <col customWidth="1" min="7" max="8" width="15.0"/>
    <col customWidth="1" min="9" max="9" width="3.0"/>
    <col customWidth="1" min="10" max="10" width="10.0"/>
    <col customWidth="1" min="11" max="11" width="3.0"/>
    <col customWidth="1" min="12" max="12" width="14.0"/>
    <col customWidth="1" min="13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2" t="s">
        <v>7</v>
      </c>
      <c r="L2" s="2" t="s">
        <v>8</v>
      </c>
    </row>
    <row r="3"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>
        <v>94.0</v>
      </c>
      <c r="H3" s="3" t="str">
        <f t="shared" ref="H3:H28" si="1">IF(G3&gt;85,"Distinction",IF(G3&gt;60,"First class",IF(G3&gt;35,"Pass","Fail")))</f>
        <v>Distinction</v>
      </c>
      <c r="J3" s="4" t="s">
        <v>14</v>
      </c>
      <c r="L3" s="4" t="s">
        <v>15</v>
      </c>
    </row>
    <row r="4"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>
        <v>81.0</v>
      </c>
      <c r="H4" s="3" t="str">
        <f t="shared" si="1"/>
        <v>First class</v>
      </c>
      <c r="J4" s="4" t="s">
        <v>21</v>
      </c>
      <c r="L4" s="4" t="s">
        <v>22</v>
      </c>
    </row>
    <row r="5">
      <c r="B5" s="3" t="s">
        <v>23</v>
      </c>
      <c r="C5" s="3" t="s">
        <v>24</v>
      </c>
      <c r="D5" s="3" t="s">
        <v>25</v>
      </c>
      <c r="E5" s="3" t="s">
        <v>12</v>
      </c>
      <c r="F5" s="3" t="s">
        <v>26</v>
      </c>
      <c r="G5" s="3">
        <v>70.0</v>
      </c>
      <c r="H5" s="3" t="str">
        <f t="shared" si="1"/>
        <v>First class</v>
      </c>
      <c r="J5" s="4" t="s">
        <v>27</v>
      </c>
      <c r="L5" s="4" t="s">
        <v>28</v>
      </c>
    </row>
    <row r="6">
      <c r="B6" s="3" t="s">
        <v>29</v>
      </c>
      <c r="C6" s="3" t="s">
        <v>30</v>
      </c>
      <c r="D6" s="3" t="s">
        <v>31</v>
      </c>
      <c r="E6" s="3" t="s">
        <v>19</v>
      </c>
      <c r="F6" s="3" t="s">
        <v>32</v>
      </c>
      <c r="G6" s="3">
        <v>22.0</v>
      </c>
      <c r="H6" s="3" t="str">
        <f t="shared" si="1"/>
        <v>Fail</v>
      </c>
      <c r="J6" s="4" t="s">
        <v>33</v>
      </c>
      <c r="L6" s="4" t="s">
        <v>34</v>
      </c>
    </row>
    <row r="7">
      <c r="B7" s="3" t="s">
        <v>35</v>
      </c>
      <c r="C7" s="3" t="s">
        <v>36</v>
      </c>
      <c r="D7" s="3" t="s">
        <v>37</v>
      </c>
      <c r="E7" s="3" t="s">
        <v>38</v>
      </c>
      <c r="F7" s="3" t="s">
        <v>32</v>
      </c>
      <c r="G7" s="3">
        <v>94.0</v>
      </c>
      <c r="H7" s="3" t="str">
        <f t="shared" si="1"/>
        <v>Distinction</v>
      </c>
    </row>
    <row r="8">
      <c r="B8" s="3" t="s">
        <v>39</v>
      </c>
      <c r="C8" s="3" t="s">
        <v>40</v>
      </c>
      <c r="D8" s="3" t="s">
        <v>41</v>
      </c>
      <c r="E8" s="3" t="s">
        <v>12</v>
      </c>
      <c r="F8" s="3" t="s">
        <v>13</v>
      </c>
      <c r="G8" s="3">
        <v>61.0</v>
      </c>
      <c r="H8" s="3" t="str">
        <f t="shared" si="1"/>
        <v>First class</v>
      </c>
    </row>
    <row r="9">
      <c r="B9" s="3" t="s">
        <v>42</v>
      </c>
      <c r="C9" s="3" t="s">
        <v>43</v>
      </c>
      <c r="D9" s="3" t="s">
        <v>44</v>
      </c>
      <c r="E9" s="3" t="s">
        <v>12</v>
      </c>
      <c r="F9" s="3" t="s">
        <v>32</v>
      </c>
      <c r="G9" s="3">
        <v>98.0</v>
      </c>
      <c r="H9" s="3" t="str">
        <f t="shared" si="1"/>
        <v>Distinction</v>
      </c>
    </row>
    <row r="10">
      <c r="B10" s="3" t="s">
        <v>45</v>
      </c>
      <c r="C10" s="3" t="s">
        <v>46</v>
      </c>
      <c r="D10" s="3" t="s">
        <v>47</v>
      </c>
      <c r="E10" s="3" t="s">
        <v>19</v>
      </c>
      <c r="F10" s="3" t="s">
        <v>20</v>
      </c>
      <c r="G10" s="3">
        <v>44.0</v>
      </c>
      <c r="H10" s="3" t="str">
        <f t="shared" si="1"/>
        <v>Pass</v>
      </c>
    </row>
    <row r="11">
      <c r="B11" s="3" t="s">
        <v>48</v>
      </c>
      <c r="C11" s="3" t="s">
        <v>49</v>
      </c>
      <c r="D11" s="3" t="s">
        <v>50</v>
      </c>
      <c r="E11" s="3" t="s">
        <v>19</v>
      </c>
      <c r="F11" s="3" t="s">
        <v>13</v>
      </c>
      <c r="G11" s="3">
        <v>24.0</v>
      </c>
      <c r="H11" s="3" t="str">
        <f t="shared" si="1"/>
        <v>Fail</v>
      </c>
    </row>
    <row r="12">
      <c r="B12" s="3" t="s">
        <v>51</v>
      </c>
      <c r="C12" s="3" t="s">
        <v>52</v>
      </c>
      <c r="D12" s="3" t="s">
        <v>53</v>
      </c>
      <c r="E12" s="3" t="s">
        <v>19</v>
      </c>
      <c r="F12" s="3" t="s">
        <v>32</v>
      </c>
      <c r="G12" s="3">
        <v>46.0</v>
      </c>
      <c r="H12" s="3" t="str">
        <f t="shared" si="1"/>
        <v>Pass</v>
      </c>
    </row>
    <row r="13">
      <c r="B13" s="3" t="s">
        <v>54</v>
      </c>
      <c r="C13" s="3" t="s">
        <v>55</v>
      </c>
      <c r="D13" s="3" t="s">
        <v>56</v>
      </c>
      <c r="E13" s="3" t="s">
        <v>38</v>
      </c>
      <c r="F13" s="3" t="s">
        <v>20</v>
      </c>
      <c r="G13" s="3">
        <v>56.0</v>
      </c>
      <c r="H13" s="3" t="str">
        <f t="shared" si="1"/>
        <v>Pass</v>
      </c>
    </row>
    <row r="14">
      <c r="B14" s="3" t="s">
        <v>57</v>
      </c>
      <c r="C14" s="3" t="s">
        <v>58</v>
      </c>
      <c r="D14" s="3" t="s">
        <v>59</v>
      </c>
      <c r="E14" s="3" t="s">
        <v>12</v>
      </c>
      <c r="F14" s="3" t="s">
        <v>20</v>
      </c>
      <c r="G14" s="3">
        <v>22.0</v>
      </c>
      <c r="H14" s="3" t="str">
        <f t="shared" si="1"/>
        <v>Fail</v>
      </c>
    </row>
    <row r="15">
      <c r="B15" s="3" t="s">
        <v>60</v>
      </c>
      <c r="C15" s="3" t="s">
        <v>61</v>
      </c>
      <c r="D15" s="3" t="s">
        <v>62</v>
      </c>
      <c r="E15" s="3" t="s">
        <v>19</v>
      </c>
      <c r="F15" s="3" t="s">
        <v>13</v>
      </c>
      <c r="G15" s="3">
        <v>88.0</v>
      </c>
      <c r="H15" s="3" t="str">
        <f t="shared" si="1"/>
        <v>Distinction</v>
      </c>
    </row>
    <row r="16">
      <c r="B16" s="3" t="s">
        <v>63</v>
      </c>
      <c r="C16" s="3" t="s">
        <v>64</v>
      </c>
      <c r="D16" s="3" t="s">
        <v>65</v>
      </c>
      <c r="E16" s="3" t="s">
        <v>38</v>
      </c>
      <c r="F16" s="3" t="s">
        <v>26</v>
      </c>
      <c r="G16" s="3">
        <v>69.0</v>
      </c>
      <c r="H16" s="3" t="str">
        <f t="shared" si="1"/>
        <v>First class</v>
      </c>
    </row>
    <row r="17">
      <c r="B17" s="3" t="s">
        <v>66</v>
      </c>
      <c r="C17" s="3" t="s">
        <v>67</v>
      </c>
      <c r="D17" s="3" t="s">
        <v>68</v>
      </c>
      <c r="E17" s="3" t="s">
        <v>19</v>
      </c>
      <c r="F17" s="3" t="s">
        <v>13</v>
      </c>
      <c r="G17" s="3">
        <v>43.0</v>
      </c>
      <c r="H17" s="3" t="str">
        <f t="shared" si="1"/>
        <v>Pass</v>
      </c>
    </row>
    <row r="18">
      <c r="B18" s="3" t="s">
        <v>69</v>
      </c>
      <c r="C18" s="3" t="s">
        <v>70</v>
      </c>
      <c r="D18" s="3" t="s">
        <v>71</v>
      </c>
      <c r="E18" s="3" t="s">
        <v>12</v>
      </c>
      <c r="F18" s="3" t="s">
        <v>20</v>
      </c>
      <c r="G18" s="3">
        <v>80.0</v>
      </c>
      <c r="H18" s="3" t="str">
        <f t="shared" si="1"/>
        <v>First class</v>
      </c>
    </row>
    <row r="19">
      <c r="B19" s="3" t="s">
        <v>72</v>
      </c>
      <c r="C19" s="3" t="s">
        <v>73</v>
      </c>
      <c r="D19" s="3" t="s">
        <v>74</v>
      </c>
      <c r="E19" s="3" t="s">
        <v>19</v>
      </c>
      <c r="F19" s="3" t="s">
        <v>32</v>
      </c>
      <c r="G19" s="3">
        <v>93.0</v>
      </c>
      <c r="H19" s="3" t="str">
        <f t="shared" si="1"/>
        <v>Distinction</v>
      </c>
    </row>
    <row r="20">
      <c r="B20" s="3" t="s">
        <v>75</v>
      </c>
      <c r="C20" s="3" t="s">
        <v>76</v>
      </c>
      <c r="D20" s="3" t="s">
        <v>77</v>
      </c>
      <c r="E20" s="3" t="s">
        <v>19</v>
      </c>
      <c r="F20" s="3" t="s">
        <v>32</v>
      </c>
      <c r="G20" s="3">
        <v>73.0</v>
      </c>
      <c r="H20" s="3" t="str">
        <f t="shared" si="1"/>
        <v>First class</v>
      </c>
    </row>
    <row r="21" ht="15.75" customHeight="1">
      <c r="B21" s="3" t="s">
        <v>78</v>
      </c>
      <c r="C21" s="3" t="s">
        <v>79</v>
      </c>
      <c r="D21" s="3" t="s">
        <v>80</v>
      </c>
      <c r="E21" s="3" t="s">
        <v>38</v>
      </c>
      <c r="F21" s="3" t="s">
        <v>20</v>
      </c>
      <c r="G21" s="3">
        <v>21.0</v>
      </c>
      <c r="H21" s="3" t="str">
        <f t="shared" si="1"/>
        <v>Fail</v>
      </c>
    </row>
    <row r="22" ht="15.75" customHeight="1">
      <c r="B22" s="3" t="s">
        <v>81</v>
      </c>
      <c r="C22" s="3" t="s">
        <v>82</v>
      </c>
      <c r="D22" s="3" t="s">
        <v>83</v>
      </c>
      <c r="E22" s="3" t="s">
        <v>38</v>
      </c>
      <c r="F22" s="3" t="s">
        <v>26</v>
      </c>
      <c r="G22" s="3">
        <v>34.0</v>
      </c>
      <c r="H22" s="3" t="str">
        <f t="shared" si="1"/>
        <v>Fail</v>
      </c>
    </row>
    <row r="23" ht="15.75" customHeight="1">
      <c r="B23" s="3" t="s">
        <v>84</v>
      </c>
      <c r="C23" s="3" t="s">
        <v>85</v>
      </c>
      <c r="D23" s="3" t="s">
        <v>86</v>
      </c>
      <c r="E23" s="3" t="s">
        <v>19</v>
      </c>
      <c r="F23" s="3" t="s">
        <v>13</v>
      </c>
      <c r="G23" s="3">
        <v>40.0</v>
      </c>
      <c r="H23" s="3" t="str">
        <f t="shared" si="1"/>
        <v>Pass</v>
      </c>
    </row>
    <row r="24" ht="15.75" customHeight="1">
      <c r="B24" s="3" t="s">
        <v>87</v>
      </c>
      <c r="C24" s="3" t="s">
        <v>88</v>
      </c>
      <c r="D24" s="3" t="s">
        <v>89</v>
      </c>
      <c r="E24" s="3" t="s">
        <v>38</v>
      </c>
      <c r="F24" s="3" t="s">
        <v>32</v>
      </c>
      <c r="G24" s="3">
        <v>85.0</v>
      </c>
      <c r="H24" s="3" t="str">
        <f t="shared" si="1"/>
        <v>First class</v>
      </c>
    </row>
    <row r="25" ht="15.75" customHeight="1">
      <c r="B25" s="3" t="s">
        <v>90</v>
      </c>
      <c r="C25" s="3" t="s">
        <v>91</v>
      </c>
      <c r="D25" s="3" t="s">
        <v>92</v>
      </c>
      <c r="E25" s="3" t="s">
        <v>38</v>
      </c>
      <c r="F25" s="3" t="s">
        <v>20</v>
      </c>
      <c r="G25" s="3">
        <v>25.0</v>
      </c>
      <c r="H25" s="3" t="str">
        <f t="shared" si="1"/>
        <v>Fail</v>
      </c>
    </row>
    <row r="26" ht="15.75" customHeight="1">
      <c r="B26" s="3" t="s">
        <v>93</v>
      </c>
      <c r="C26" s="3" t="s">
        <v>94</v>
      </c>
      <c r="D26" s="3" t="s">
        <v>95</v>
      </c>
      <c r="E26" s="3" t="s">
        <v>19</v>
      </c>
      <c r="F26" s="3" t="s">
        <v>32</v>
      </c>
      <c r="G26" s="3">
        <v>62.0</v>
      </c>
      <c r="H26" s="3" t="str">
        <f t="shared" si="1"/>
        <v>First class</v>
      </c>
    </row>
    <row r="27" ht="15.75" customHeight="1">
      <c r="B27" s="3" t="s">
        <v>96</v>
      </c>
      <c r="C27" s="3" t="s">
        <v>97</v>
      </c>
      <c r="D27" s="3" t="s">
        <v>98</v>
      </c>
      <c r="E27" s="3" t="s">
        <v>12</v>
      </c>
      <c r="F27" s="3" t="s">
        <v>13</v>
      </c>
      <c r="G27" s="3">
        <v>71.0</v>
      </c>
      <c r="H27" s="3" t="str">
        <f t="shared" si="1"/>
        <v>First class</v>
      </c>
    </row>
    <row r="28" ht="15.75" customHeight="1">
      <c r="B28" s="3" t="s">
        <v>99</v>
      </c>
      <c r="C28" s="3" t="s">
        <v>100</v>
      </c>
      <c r="D28" s="3" t="s">
        <v>101</v>
      </c>
      <c r="E28" s="3" t="s">
        <v>38</v>
      </c>
      <c r="F28" s="3" t="s">
        <v>32</v>
      </c>
      <c r="G28" s="3">
        <v>54.0</v>
      </c>
      <c r="H28" s="3" t="str">
        <f t="shared" si="1"/>
        <v>Pass</v>
      </c>
    </row>
    <row r="29" ht="15.75" customHeight="1"/>
    <row r="30" ht="15.75" customHeight="1"/>
    <row r="31" ht="15.75" customHeight="1">
      <c r="B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H1000">
    <cfRule type="expression" dxfId="0" priority="1">
      <formula>$H3=$L$6</formula>
    </cfRule>
  </conditionalFormatting>
  <conditionalFormatting sqref="H3:H1000">
    <cfRule type="cellIs" dxfId="0" priority="2" operator="equal">
      <formula>$L$6</formula>
    </cfRule>
  </conditionalFormatting>
  <conditionalFormatting sqref="H3:H1000">
    <cfRule type="cellIs" dxfId="1" priority="3" operator="equal">
      <formula>$L$5</formula>
    </cfRule>
  </conditionalFormatting>
  <conditionalFormatting sqref="H3:H1000">
    <cfRule type="cellIs" dxfId="2" priority="4" operator="equal">
      <formula>$L$4</formula>
    </cfRule>
  </conditionalFormatting>
  <conditionalFormatting sqref="H3:H1000">
    <cfRule type="cellIs" dxfId="3" priority="5" operator="equal">
      <formula>$L$3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4.0"/>
    <col customWidth="1" min="11" max="11" width="12.0"/>
    <col customWidth="1" min="12" max="12" width="14.0"/>
    <col customWidth="1" min="13" max="15" width="8.71"/>
    <col customWidth="1" min="16" max="16" width="14.0"/>
    <col customWidth="1" min="17" max="26" width="8.71"/>
  </cols>
  <sheetData>
    <row r="5">
      <c r="J5" s="1" t="s">
        <v>102</v>
      </c>
      <c r="K5" s="1" t="s">
        <v>103</v>
      </c>
      <c r="L5" s="1" t="s">
        <v>104</v>
      </c>
      <c r="P5" s="2" t="s">
        <v>105</v>
      </c>
    </row>
    <row r="6">
      <c r="J6" s="3" t="s">
        <v>106</v>
      </c>
      <c r="K6" s="3" t="s">
        <v>107</v>
      </c>
      <c r="L6" s="3" t="s">
        <v>108</v>
      </c>
      <c r="P6" s="4" t="s">
        <v>108</v>
      </c>
    </row>
    <row r="7">
      <c r="J7" s="3" t="s">
        <v>109</v>
      </c>
      <c r="K7" s="3" t="s">
        <v>110</v>
      </c>
      <c r="L7" s="3" t="s">
        <v>111</v>
      </c>
      <c r="P7" s="4" t="s">
        <v>111</v>
      </c>
    </row>
    <row r="8">
      <c r="J8" s="3" t="s">
        <v>112</v>
      </c>
      <c r="K8" s="3" t="s">
        <v>113</v>
      </c>
      <c r="L8" s="3" t="s">
        <v>114</v>
      </c>
      <c r="P8" s="4" t="s">
        <v>114</v>
      </c>
    </row>
    <row r="9">
      <c r="J9" s="3" t="s">
        <v>115</v>
      </c>
      <c r="K9" s="3" t="s">
        <v>107</v>
      </c>
      <c r="L9" s="3" t="s">
        <v>108</v>
      </c>
    </row>
    <row r="10">
      <c r="J10" s="3" t="s">
        <v>116</v>
      </c>
      <c r="K10" s="3" t="s">
        <v>113</v>
      </c>
      <c r="L10" s="3" t="s">
        <v>114</v>
      </c>
    </row>
    <row r="11">
      <c r="J11" s="3" t="s">
        <v>117</v>
      </c>
      <c r="K11" s="3" t="s">
        <v>110</v>
      </c>
      <c r="L11" s="3" t="s">
        <v>111</v>
      </c>
    </row>
    <row r="12">
      <c r="J12" s="3" t="s">
        <v>109</v>
      </c>
      <c r="K12" s="3" t="s">
        <v>107</v>
      </c>
      <c r="L12" s="3"/>
    </row>
    <row r="13">
      <c r="J13" s="3" t="s">
        <v>112</v>
      </c>
      <c r="K13" s="3" t="s">
        <v>110</v>
      </c>
      <c r="L13" s="3"/>
    </row>
    <row r="15">
      <c r="J1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6:L13">
    <cfRule type="cellIs" dxfId="0" priority="1" operator="equal">
      <formula>$P$6</formula>
    </cfRule>
  </conditionalFormatting>
  <conditionalFormatting sqref="L6:L13">
    <cfRule type="cellIs" dxfId="2" priority="2" operator="equal">
      <formula>$P$7</formula>
    </cfRule>
  </conditionalFormatting>
  <conditionalFormatting sqref="L6:L13">
    <cfRule type="cellIs" dxfId="3" priority="3" operator="equal">
      <formula>$P$8</formula>
    </cfRule>
  </conditionalFormatting>
  <dataValidations>
    <dataValidation type="list" allowBlank="1" sqref="L6:L13">
      <formula1>$P$6:$P$8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2026-10-26T06:35:26Z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