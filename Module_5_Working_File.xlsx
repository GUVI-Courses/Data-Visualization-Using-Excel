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efff1cefc44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NUM-DATEDIF" sheetId="1" r:id="R238f24c658cd4add"/>
    <x:sheet xmlns:r="http://schemas.openxmlformats.org/officeDocument/2006/relationships" name="GoalSeek" sheetId="2" r:id="R532addf3e2454a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-yyyy"/>
    <x:numFmt numFmtId="201" formatCode="#,##0.00"/>
    <x:numFmt numFmtId="202" formatCode="0%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5"/>
      <x:color rgb="FF244C6B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4C6B"/>
      </x:patternFill>
    </x:fill>
    <x:fill>
      <x:patternFill patternType="solid">
        <x:fgColor rgb="FFFFF2CC"/>
      </x:patternFill>
    </x:fill>
    <x:fill>
      <x:patternFill patternType="solid">
        <x:fgColor rgb="FF203864"/>
      </x:patternFill>
    </x:fill>
    <x:fill>
      <x:patternFill patternType="solid">
        <x:fgColor rgb="FFF8CB9D"/>
      </x:patternFill>
    </x:fill>
    <x:fill>
      <x:patternFill patternType="solid">
        <x:fgColor rgb="FFBDD7EE"/>
      </x:patternFill>
    </x:fill>
  </x:fills>
  <x:borders count="2">
    <x:border>
      <x:left/>
      <x:right/>
      <x:top/>
      <x:bottom/>
      <x:diagonal/>
    </x:border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201" fontId="1" fillId="5" borderId="0" xfId="0" applyNumberFormat="1" applyFont="1" applyFill="1" applyBorder="1"/>
    <x:xf numFmtId="202" fontId="1" fillId="5" borderId="0" xfId="0" applyNumberFormat="1" applyFont="1" applyFill="1" applyBorder="1"/>
    <x:xf numFmtId="0" fontId="1" fillId="0" borderId="1" xfId="0" applyNumberFormat="1" applyFont="1" applyFill="1" applyBorder="1"/>
    <x:xf numFmtId="201" fontId="1" fillId="5" borderId="1" xfId="0" applyNumberFormat="1" applyFont="1" applyFill="1" applyBorder="1"/>
    <x:xf numFmtId="202" fontId="1" fillId="5" borderId="1" xfId="0" applyNumberFormat="1" applyFont="1" applyFill="1" applyBorder="1"/>
    <x:xf numFmtId="0" fontId="4" fillId="0" borderId="1" xfId="0" applyNumberFormat="1" applyFont="1" applyFill="1" applyBorder="1"/>
    <x:xf numFmtId="201" fontId="4" fillId="5" borderId="1" xfId="0" applyNumberFormat="1" applyFont="1" applyFill="1" applyBorder="1"/>
    <x:xf numFmtId="0" fontId="1" fillId="6" borderId="0" xfId="0" applyNumberFormat="1" applyFont="1" applyFill="1" applyBorder="1"/>
    <x:xf numFmtId="201" fontId="1" fillId="6" borderId="0" xfId="0" applyNumberFormat="1" applyFont="1" applyFill="1" applyBorder="1"/>
    <x:xf numFmtId="201" fontId="1" fillId="0" borderId="0" xfId="0" applyNumberFormat="1" applyFont="1" applyFill="1" applyBorder="1"/>
    <x:xf numFmtId="201" fontId="1" fillId="2" borderId="0" xfId="0" applyNumberFormat="1" applyFont="1" applyFill="1" applyBorder="1"/>
    <x:xf numFmtId="201" fontId="2" fillId="2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610a3760544803" /><Relationship Type="http://schemas.openxmlformats.org/officeDocument/2006/relationships/theme" Target="/xl/theme/theme1.xml" Id="R52ba4abf59414ef3" /><Relationship Type="http://schemas.openxmlformats.org/officeDocument/2006/relationships/sharedStrings" Target="/xl/sharedStrings.xml" Id="R5faefaa283044e47" /><Relationship Type="http://schemas.openxmlformats.org/officeDocument/2006/relationships/worksheet" Target="/xl/worksheets/sheet1.xml" Id="R238f24c658cd4add" /><Relationship Type="http://schemas.openxmlformats.org/officeDocument/2006/relationships/worksheet" Target="/xl/worksheets/sheet2.xml" Id="R532addf3e2454a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7" hidden="0" customWidth="1"/>
    <x:col min="3" max="3" width="26" hidden="0" customWidth="1"/>
    <x:col min="4" max="4" width="19" hidden="0" customWidth="1"/>
    <x:col min="5" max="5" width="3" hidden="0" customWidth="1"/>
    <x:col min="6" max="6" width="10" hidden="0" customWidth="1"/>
    <x:col min="7" max="7" width="11" hidden="0" customWidth="1"/>
    <x:col min="8" max="8" width="11" hidden="0" customWidth="1"/>
    <x:col min="9" max="9" width="42" hidden="0" customWidth="1"/>
    <x:col min="10" max="10" width="3" hidden="0" customWidth="1"/>
    <x:col min="11" max="11" width="23" hidden="0" customWidth="1"/>
  </x:cols>
  <x:sheetData>
    <x:row r="1">
      <x:c r="K1" t="str">
        <x:v>Reference date</x:v>
      </x:c>
    </x:row>
    <x:row r="2" ht="27" customHeight="1">
      <x:c r="B2" s="3" t="str">
        <x:v>DOJ</x:v>
      </x:c>
      <x:c r="C2" s="3" t="str">
        <x:v>Employee Name</x:v>
      </x:c>
      <x:c r="D2" s="3" t="str">
        <x:v>WEEKNUMBER</x:v>
      </x:c>
      <x:c r="E2" s="1"/>
      <x:c r="F2" s="3" t="str">
        <x:v>Years</x:v>
      </x:c>
      <x:c r="G2" s="3" t="str">
        <x:v>Months</x:v>
      </x:c>
      <x:c r="H2" s="3" t="str">
        <x:v>Days</x:v>
      </x:c>
      <x:c r="I2" s="3" t="str">
        <x:v>Years + months + days</x:v>
      </x:c>
      <x:c r="J2" s="1"/>
      <x:c r="K2" s="5" t="d">
        <x:v>2023-06-14T00:00:00.000Z</x:v>
      </x:c>
    </x:row>
    <x:row r="3" ht="23" customHeight="1">
      <x:c r="B3" s="4" t="d">
        <x:v>2022-09-28T00:00:00.000Z</x:v>
      </x:c>
      <x:c r="C3" s="1" t="str">
        <x:v>Maude Sweigart</x:v>
      </x:c>
      <x:c r="D3" s="1" t="n">
        <x:f>WEEKNUM(B3)</x:f>
        <x:v>40</x:v>
      </x:c>
      <x:c r="E3" s="1"/>
      <x:c r="F3" s="1" t="n">
        <x:f>DATEDIF(B3,$K$2,"Y")</x:f>
        <x:v>0</x:v>
      </x:c>
      <x:c r="G3" s="1" t="n">
        <x:f>DATEDIF(B3,$K$2,"M")</x:f>
        <x:v>8</x:v>
      </x:c>
      <x:c r="H3" s="1" t="n">
        <x:f>DATEDIF(B3,$K$2,"D")</x:f>
        <x:v>259</x:v>
      </x:c>
      <x:c r="I3" s="1" t="str">
        <x:f>F3&amp;" Years "&amp;G3&amp;" Months "&amp;H3&amp;" Days"</x:f>
        <x:v>0 Years 8 Months 259 Days</x:v>
      </x:c>
      <x:c r="J3" s="1"/>
      <x:c r="K3" s="1"/>
    </x:row>
    <x:row r="4" ht="23" customHeight="1">
      <x:c r="B4" s="4" t="d">
        <x:v>2022-11-21T00:00:00.000Z</x:v>
      </x:c>
      <x:c r="C4" s="1" t="str">
        <x:v>Leonor Triplett</x:v>
      </x:c>
      <x:c r="D4" s="1" t="n">
        <x:f>WEEKNUM(B4)</x:f>
        <x:v>48</x:v>
      </x:c>
      <x:c r="E4" s="1"/>
      <x:c r="F4" s="1" t="n">
        <x:f>DATEDIF(B4,$K$2,"Y")</x:f>
        <x:v>0</x:v>
      </x:c>
      <x:c r="G4" s="1" t="n">
        <x:f>DATEDIF(B4,$K$2,"M")</x:f>
        <x:v>6</x:v>
      </x:c>
      <x:c r="H4" s="1" t="n">
        <x:f>DATEDIF(B4,$K$2,"D")</x:f>
        <x:v>205</x:v>
      </x:c>
      <x:c r="I4" s="1" t="str">
        <x:f>F4&amp;" Years "&amp;G4&amp;" Months "&amp;H4&amp;" Days"</x:f>
        <x:v>0 Years 6 Months 205 Days</x:v>
      </x:c>
      <x:c r="J4" s="1"/>
      <x:c r="K4" s="1"/>
    </x:row>
    <x:row r="5" ht="23" customHeight="1">
      <x:c r="B5" s="4" t="d">
        <x:v>2022-10-17T00:00:00.000Z</x:v>
      </x:c>
      <x:c r="C5" s="1" t="str">
        <x:v>Cleotilde Speck</x:v>
      </x:c>
      <x:c r="D5" s="1" t="n">
        <x:f>WEEKNUM(B5)</x:f>
        <x:v>43</x:v>
      </x:c>
      <x:c r="E5" s="1"/>
      <x:c r="F5" s="1" t="n">
        <x:f>DATEDIF(B5,$K$2,"Y")</x:f>
        <x:v>0</x:v>
      </x:c>
      <x:c r="G5" s="1" t="n">
        <x:f>DATEDIF(B5,$K$2,"M")</x:f>
        <x:v>7</x:v>
      </x:c>
      <x:c r="H5" s="1" t="n">
        <x:f>DATEDIF(B5,$K$2,"D")</x:f>
        <x:v>240</x:v>
      </x:c>
      <x:c r="I5" s="1" t="str">
        <x:f>F5&amp;" Years "&amp;G5&amp;" Months "&amp;H5&amp;" Days"</x:f>
        <x:v>0 Years 7 Months 240 Days</x:v>
      </x:c>
      <x:c r="J5" s="1"/>
      <x:c r="K5" s="1"/>
    </x:row>
    <x:row r="6" ht="23" customHeight="1">
      <x:c r="B6" s="4" t="d">
        <x:v>2022-10-28T00:00:00.000Z</x:v>
      </x:c>
      <x:c r="C6" s="1" t="str">
        <x:v>Criselda Ogle</x:v>
      </x:c>
      <x:c r="D6" s="1" t="n">
        <x:f>WEEKNUM(B6)</x:f>
        <x:v>44</x:v>
      </x:c>
      <x:c r="E6" s="1"/>
      <x:c r="F6" s="1" t="n">
        <x:f>DATEDIF(B6,$K$2,"Y")</x:f>
        <x:v>0</x:v>
      </x:c>
      <x:c r="G6" s="1" t="n">
        <x:f>DATEDIF(B6,$K$2,"M")</x:f>
        <x:v>7</x:v>
      </x:c>
      <x:c r="H6" s="1" t="n">
        <x:f>DATEDIF(B6,$K$2,"D")</x:f>
        <x:v>229</x:v>
      </x:c>
      <x:c r="I6" s="1" t="str">
        <x:f>F6&amp;" Years "&amp;G6&amp;" Months "&amp;H6&amp;" Days"</x:f>
        <x:v>0 Years 7 Months 229 Days</x:v>
      </x:c>
      <x:c r="J6" s="1"/>
      <x:c r="K6" s="1"/>
    </x:row>
    <x:row r="7" ht="23" customHeight="1">
      <x:c r="B7" s="4" t="d">
        <x:v>2022-02-04T00:00:00.000Z</x:v>
      </x:c>
      <x:c r="C7" s="1" t="str">
        <x:v>Khalilah Holford</x:v>
      </x:c>
      <x:c r="D7" s="1" t="n">
        <x:f>WEEKNUM(B7)</x:f>
        <x:v>6</x:v>
      </x:c>
      <x:c r="E7" s="1"/>
      <x:c r="F7" s="1" t="n">
        <x:f>DATEDIF(B7,$K$2,"Y")</x:f>
        <x:v>1</x:v>
      </x:c>
      <x:c r="G7" s="1" t="n">
        <x:f>DATEDIF(B7,$K$2,"M")</x:f>
        <x:v>16</x:v>
      </x:c>
      <x:c r="H7" s="1" t="n">
        <x:f>DATEDIF(B7,$K$2,"D")</x:f>
        <x:v>495</x:v>
      </x:c>
      <x:c r="I7" s="1" t="str">
        <x:f>F7&amp;" Years "&amp;G7&amp;" Months "&amp;H7&amp;" Days"</x:f>
        <x:v>1 Years 16 Months 495 Days</x:v>
      </x:c>
      <x:c r="J7" s="1"/>
      <x:c r="K7" s="1"/>
    </x:row>
    <x:row r="8" ht="23" customHeight="1">
      <x:c r="B8" s="4" t="d">
        <x:v>2022-05-25T00:00:00.000Z</x:v>
      </x:c>
      <x:c r="C8" s="1" t="str">
        <x:v>Oren Rawlings</x:v>
      </x:c>
      <x:c r="D8" s="1" t="n">
        <x:f>WEEKNUM(B8)</x:f>
        <x:v>22</x:v>
      </x:c>
      <x:c r="E8" s="1"/>
      <x:c r="F8" s="1" t="n">
        <x:f>DATEDIF(B8,$K$2,"Y")</x:f>
        <x:v>1</x:v>
      </x:c>
      <x:c r="G8" s="1" t="n">
        <x:f>DATEDIF(B8,$K$2,"M")</x:f>
        <x:v>12</x:v>
      </x:c>
      <x:c r="H8" s="1" t="n">
        <x:f>DATEDIF(B8,$K$2,"D")</x:f>
        <x:v>385</x:v>
      </x:c>
      <x:c r="I8" s="1" t="str">
        <x:f>F8&amp;" Years "&amp;G8&amp;" Months "&amp;H8&amp;" Days"</x:f>
        <x:v>1 Years 12 Months 385 Days</x:v>
      </x:c>
      <x:c r="J8" s="1"/>
      <x:c r="K8" s="1"/>
    </x:row>
    <x:row r="9" ht="23" customHeight="1">
      <x:c r="B9" s="4" t="d">
        <x:v>2022-12-26T00:00:00.000Z</x:v>
      </x:c>
      <x:c r="C9" s="1" t="str">
        <x:v>Suzi Gragg</x:v>
      </x:c>
      <x:c r="D9" s="1" t="n">
        <x:f>WEEKNUM(B9)</x:f>
        <x:v>53</x:v>
      </x:c>
      <x:c r="E9" s="1"/>
      <x:c r="F9" s="1" t="n">
        <x:f>DATEDIF(B9,$K$2,"Y")</x:f>
        <x:v>0</x:v>
      </x:c>
      <x:c r="G9" s="1" t="n">
        <x:f>DATEDIF(B9,$K$2,"M")</x:f>
        <x:v>5</x:v>
      </x:c>
      <x:c r="H9" s="1" t="n">
        <x:f>DATEDIF(B9,$K$2,"D")</x:f>
        <x:v>170</x:v>
      </x:c>
      <x:c r="I9" s="1" t="str">
        <x:f>F9&amp;" Years "&amp;G9&amp;" Months "&amp;H9&amp;" Days"</x:f>
        <x:v>0 Years 5 Months 170 Days</x:v>
      </x:c>
      <x:c r="J9" s="1"/>
      <x:c r="K9" s="1"/>
    </x:row>
    <x:row r="10" ht="23" customHeight="1">
      <x:c r="B10" s="4" t="d">
        <x:v>2022-10-07T00:00:00.000Z</x:v>
      </x:c>
      <x:c r="C10" s="1" t="str">
        <x:v>Clifford Mouzon</x:v>
      </x:c>
      <x:c r="D10" s="1" t="n">
        <x:f>WEEKNUM(B10)</x:f>
        <x:v>41</x:v>
      </x:c>
      <x:c r="E10" s="1"/>
      <x:c r="F10" s="1" t="n">
        <x:f>DATEDIF(B10,$K$2,"Y")</x:f>
        <x:v>0</x:v>
      </x:c>
      <x:c r="G10" s="1" t="n">
        <x:f>DATEDIF(B10,$K$2,"M")</x:f>
        <x:v>8</x:v>
      </x:c>
      <x:c r="H10" s="1" t="n">
        <x:f>DATEDIF(B10,$K$2,"D")</x:f>
        <x:v>250</x:v>
      </x:c>
      <x:c r="I10" s="1" t="str">
        <x:f>F10&amp;" Years "&amp;G10&amp;" Months "&amp;H10&amp;" Days"</x:f>
        <x:v>0 Years 8 Months 250 Days</x:v>
      </x:c>
      <x:c r="J10" s="1"/>
      <x:c r="K10" s="1"/>
    </x:row>
    <x:row r="11" ht="23" customHeight="1">
      <x:c r="B11" s="4" t="d">
        <x:v>2022-06-18T00:00:00.000Z</x:v>
      </x:c>
      <x:c r="C11" s="1" t="str">
        <x:v>Shaunna Hori</x:v>
      </x:c>
      <x:c r="D11" s="1" t="n">
        <x:f>WEEKNUM(B11)</x:f>
        <x:v>25</x:v>
      </x:c>
      <x:c r="E11" s="1"/>
      <x:c r="F11" s="1" t="n">
        <x:f>DATEDIF(B11,$K$2,"Y")</x:f>
        <x:v>0</x:v>
      </x:c>
      <x:c r="G11" s="1" t="n">
        <x:f>DATEDIF(B11,$K$2,"M")</x:f>
        <x:v>11</x:v>
      </x:c>
      <x:c r="H11" s="1" t="n">
        <x:f>DATEDIF(B11,$K$2,"D")</x:f>
        <x:v>361</x:v>
      </x:c>
      <x:c r="I11" s="1" t="str">
        <x:f>F11&amp;" Years "&amp;G11&amp;" Months "&amp;H11&amp;" Days"</x:f>
        <x:v>0 Years 11 Months 361 Days</x:v>
      </x:c>
      <x:c r="J11" s="1"/>
      <x:c r="K11" s="1"/>
    </x:row>
    <x:row r="12" ht="23" customHeight="1">
      <x:c r="B12" s="4" t="d">
        <x:v>2022-11-10T00:00:00.000Z</x:v>
      </x:c>
      <x:c r="C12" s="1" t="str">
        <x:v>Gordon Neidig</x:v>
      </x:c>
      <x:c r="D12" s="1" t="n">
        <x:f>WEEKNUM(B12)</x:f>
        <x:v>46</x:v>
      </x:c>
      <x:c r="E12" s="1"/>
      <x:c r="F12" s="1" t="n">
        <x:f>DATEDIF(B12,$K$2,"Y")</x:f>
        <x:v>0</x:v>
      </x:c>
      <x:c r="G12" s="1" t="n">
        <x:f>DATEDIF(B12,$K$2,"M")</x:f>
        <x:v>7</x:v>
      </x:c>
      <x:c r="H12" s="1" t="n">
        <x:f>DATEDIF(B12,$K$2,"D")</x:f>
        <x:v>216</x:v>
      </x:c>
      <x:c r="I12" s="1" t="str">
        <x:f>F12&amp;" Years "&amp;G12&amp;" Months "&amp;H12&amp;" Days"</x:f>
        <x:v>0 Years 7 Months 216 Days</x:v>
      </x:c>
      <x:c r="J12" s="1"/>
      <x:c r="K12" s="1"/>
    </x:row>
    <x:row r="13" ht="23" customHeight="1">
      <x:c r="B13" s="4" t="d">
        <x:v>2022-04-30T00:00:00.000Z</x:v>
      </x:c>
      <x:c r="C13" s="1" t="str">
        <x:v>Theola Danner</x:v>
      </x:c>
      <x:c r="D13" s="1" t="n">
        <x:f>WEEKNUM(B13)</x:f>
        <x:v>18</x:v>
      </x:c>
      <x:c r="E13" s="1"/>
      <x:c r="F13" s="1" t="n">
        <x:f>DATEDIF(B13,$K$2,"Y")</x:f>
        <x:v>1</x:v>
      </x:c>
      <x:c r="G13" s="1" t="n">
        <x:f>DATEDIF(B13,$K$2,"M")</x:f>
        <x:v>13</x:v>
      </x:c>
      <x:c r="H13" s="1" t="n">
        <x:f>DATEDIF(B13,$K$2,"D")</x:f>
        <x:v>410</x:v>
      </x:c>
      <x:c r="I13" s="1" t="str">
        <x:f>F13&amp;" Years "&amp;G13&amp;" Months "&amp;H13&amp;" Days"</x:f>
        <x:v>1 Years 13 Months 410 Days</x:v>
      </x:c>
      <x:c r="J13" s="1"/>
      <x:c r="K13" s="1"/>
    </x:row>
    <x:row r="14" ht="23" customHeight="1">
      <x:c r="B14" s="4" t="d">
        <x:v>2022-05-18T00:00:00.000Z</x:v>
      </x:c>
      <x:c r="C14" s="1" t="str">
        <x:v>Claire Sergi</x:v>
      </x:c>
      <x:c r="D14" s="1" t="n">
        <x:f>WEEKNUM(B14)</x:f>
        <x:v>21</x:v>
      </x:c>
      <x:c r="E14" s="1"/>
      <x:c r="F14" s="1" t="n">
        <x:f>DATEDIF(B14,$K$2,"Y")</x:f>
        <x:v>1</x:v>
      </x:c>
      <x:c r="G14" s="1" t="n">
        <x:f>DATEDIF(B14,$K$2,"M")</x:f>
        <x:v>12</x:v>
      </x:c>
      <x:c r="H14" s="1" t="n">
        <x:f>DATEDIF(B14,$K$2,"D")</x:f>
        <x:v>392</x:v>
      </x:c>
      <x:c r="I14" s="1" t="str">
        <x:f>F14&amp;" Years "&amp;G14&amp;" Months "&amp;H14&amp;" Days"</x:f>
        <x:v>1 Years 12 Months 392 Days</x:v>
      </x:c>
      <x:c r="J14" s="1"/>
      <x:c r="K14" s="1"/>
    </x:row>
    <x:row r="15" ht="23" customHeight="1">
      <x:c r="B15" s="4" t="d">
        <x:v>2022-04-30T00:00:00.000Z</x:v>
      </x:c>
      <x:c r="C15" s="1" t="str">
        <x:v>Pamala Laureano</x:v>
      </x:c>
      <x:c r="D15" s="1" t="n">
        <x:f>WEEKNUM(B15)</x:f>
        <x:v>18</x:v>
      </x:c>
      <x:c r="E15" s="1"/>
      <x:c r="F15" s="1" t="n">
        <x:f>DATEDIF(B15,$K$2,"Y")</x:f>
        <x:v>1</x:v>
      </x:c>
      <x:c r="G15" s="1" t="n">
        <x:f>DATEDIF(B15,$K$2,"M")</x:f>
        <x:v>13</x:v>
      </x:c>
      <x:c r="H15" s="1" t="n">
        <x:f>DATEDIF(B15,$K$2,"D")</x:f>
        <x:v>410</x:v>
      </x:c>
      <x:c r="I15" s="1" t="str">
        <x:f>F15&amp;" Years "&amp;G15&amp;" Months "&amp;H15&amp;" Days"</x:f>
        <x:v>1 Years 13 Months 410 Days</x:v>
      </x:c>
      <x:c r="J15" s="1"/>
      <x:c r="K15" s="1"/>
    </x:row>
    <x:row r="16" ht="23" customHeight="1">
      <x:c r="B16" s="4" t="d">
        <x:v>2022-10-28T00:00:00.000Z</x:v>
      </x:c>
      <x:c r="C16" s="1" t="str">
        <x:v>Cassie Real</x:v>
      </x:c>
      <x:c r="D16" s="1" t="n">
        <x:f>WEEKNUM(B16)</x:f>
        <x:v>44</x:v>
      </x:c>
      <x:c r="E16" s="1"/>
      <x:c r="F16" s="1" t="n">
        <x:f>DATEDIF(B16,$K$2,"Y")</x:f>
        <x:v>0</x:v>
      </x:c>
      <x:c r="G16" s="1" t="n">
        <x:f>DATEDIF(B16,$K$2,"M")</x:f>
        <x:v>7</x:v>
      </x:c>
      <x:c r="H16" s="1" t="n">
        <x:f>DATEDIF(B16,$K$2,"D")</x:f>
        <x:v>229</x:v>
      </x:c>
      <x:c r="I16" s="1" t="str">
        <x:f>F16&amp;" Years "&amp;G16&amp;" Months "&amp;H16&amp;" Days"</x:f>
        <x:v>0 Years 7 Months 229 Days</x:v>
      </x:c>
      <x:c r="J16" s="1"/>
      <x:c r="K16" s="1"/>
    </x:row>
    <x:row r="17" ht="23" customHeight="1"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3" customHeight="1"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3" customHeight="1">
      <x:c r="B19" s="1" t="str">
        <x:v>Source: Module 5.mp4, visible employee examples at 00:44–02:30.</x:v>
      </x:c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3" customHeight="1">
      <x:c r="B20" s="1" t="str">
        <x:v>Recreated from the recording; 14 legible employee rows are included. Off-screen rows are not invented.</x:v>
      </x:c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3" customHeight="1">
      <x:c r="B21" s="1" t="str">
        <x:v>Reference date is 14 June 2023, matching the displayed results in the recording.</x:v>
      </x:c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3" customHeight="1">
      <x:c r="B22" s="1" t="str">
        <x:v>To calculate to the current date, replace K2 with =TODAY().</x:v>
      </x:c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3" customHeight="1">
      <x:c r="B23" s="1" t="str">
        <x:v>Months and Days are total elapsed months and days, as demonstrated; they are not remainder components.</x:v>
      </x:c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3" customHeight="1">
      <x:c r="B24" s="1" t="str">
        <x:v>The combined text reproduces those three totals.</x:v>
      </x:c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3" customHeight="1">
      <x:c r="B25" s="1" t="str">
        <x:v>WEEKNUM uses the default Sunday-based week numbering.</x:v>
      </x:c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3" customHeight="1"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9" hidden="0" customWidth="1"/>
    <x:col min="3" max="3" width="20" hidden="0" customWidth="1"/>
    <x:col min="4" max="4" width="4" hidden="0" customWidth="1"/>
    <x:col min="5" max="5" width="31" hidden="0" customWidth="1"/>
    <x:col min="6" max="6" width="22" hidden="0" customWidth="1"/>
  </x:cols>
  <x:sheetData>
    <x:row r="2" ht="23" customHeight="1">
      <x:c r="B2" s="1"/>
      <x:c r="C2" s="1"/>
      <x:c r="D2" s="1"/>
      <x:c r="E2" s="1"/>
      <x:c r="F2" s="1"/>
    </x:row>
    <x:row r="3" ht="23" customHeight="1">
      <x:c r="B3" s="6" t="str">
        <x:v>GOAL SEEK EXAMPLE</x:v>
      </x:c>
      <x:c r="C3" s="1"/>
      <x:c r="D3" s="1"/>
      <x:c r="E3" s="1"/>
      <x:c r="F3" s="1"/>
    </x:row>
    <x:row r="4" ht="23" customHeight="1">
      <x:c r="B4" s="1"/>
      <x:c r="C4" s="1"/>
      <x:c r="D4" s="1"/>
      <x:c r="E4" s="1"/>
      <x:c r="F4" s="1"/>
    </x:row>
    <x:row r="5" ht="23" customHeight="1">
      <x:c r="B5" s="7"/>
      <x:c r="C5" s="7"/>
      <x:c r="D5" s="1"/>
      <x:c r="E5" s="1" t="str">
        <x:v>Actual revenue (before discount)</x:v>
      </x:c>
      <x:c r="F5" s="17" t="n">
        <x:f>C6*C7</x:f>
        <x:v>9000</x:v>
      </x:c>
    </x:row>
    <x:row r="6" ht="23" customHeight="1">
      <x:c r="B6" s="11" t="str">
        <x:v>Item Price/unit</x:v>
      </x:c>
      <x:c r="C6" s="12" t="n">
        <x:v>60</x:v>
      </x:c>
      <x:c r="D6" s="1"/>
      <x:c r="E6" s="1" t="str">
        <x:v>Discount amount</x:v>
      </x:c>
      <x:c r="F6" s="17" t="n">
        <x:f>F5*C8</x:f>
        <x:v>1350</x:v>
      </x:c>
    </x:row>
    <x:row r="7" ht="23" customHeight="1">
      <x:c r="B7" s="11" t="str">
        <x:v>Quantity</x:v>
      </x:c>
      <x:c r="C7" s="12" t="n">
        <x:v>150</x:v>
      </x:c>
      <x:c r="D7" s="1"/>
      <x:c r="E7" s="1"/>
      <x:c r="F7" s="18"/>
    </x:row>
    <x:row r="8" ht="23" customHeight="1">
      <x:c r="B8" s="11" t="str">
        <x:v>Discount</x:v>
      </x:c>
      <x:c r="C8" s="13" t="n">
        <x:v>0.15</x:v>
      </x:c>
      <x:c r="D8" s="1"/>
      <x:c r="E8" s="1"/>
      <x:c r="F8" s="18"/>
    </x:row>
    <x:row r="9" ht="27" customHeight="1">
      <x:c r="B9" s="11" t="str">
        <x:v>Revenue</x:v>
      </x:c>
      <x:c r="C9" s="12" t="n">
        <x:f>C6*C7*(1-C8)</x:f>
        <x:v>7650</x:v>
      </x:c>
      <x:c r="D9" s="1"/>
      <x:c r="E9" s="3" t="str">
        <x:v>Solution reference</x:v>
      </x:c>
      <x:c r="F9" s="20" t="str">
        <x:v>Value</x:v>
      </x:c>
    </x:row>
    <x:row r="10" ht="23" customHeight="1">
      <x:c r="B10" s="11"/>
      <x:c r="C10" s="12"/>
      <x:c r="D10" s="1"/>
      <x:c r="E10" s="1" t="str">
        <x:v>Required price/unit</x:v>
      </x:c>
      <x:c r="F10" s="18" t="n">
        <x:f>C11/(C7*(1-C8))</x:f>
        <x:v>117.6470588235294</x:v>
      </x:c>
    </x:row>
    <x:row r="11" ht="23" customHeight="1">
      <x:c r="B11" s="14" t="str">
        <x:v>Target Revenue</x:v>
      </x:c>
      <x:c r="C11" s="15" t="n">
        <x:v>15000</x:v>
      </x:c>
      <x:c r="D11" s="1"/>
      <x:c r="E11" s="1" t="str">
        <x:v>Revenue at required price</x:v>
      </x:c>
      <x:c r="F11" s="18" t="n">
        <x:f>F10*C7*(1-C8)</x:f>
        <x:v>15000</x:v>
      </x:c>
    </x:row>
    <x:row r="12" ht="23" customHeight="1">
      <x:c r="B12" s="1"/>
      <x:c r="C12" s="1"/>
      <x:c r="D12" s="1"/>
      <x:c r="E12" s="1" t="str">
        <x:v>Difference from target</x:v>
      </x:c>
      <x:c r="F12" s="18" t="n">
        <x:f>F11-C11</x:f>
        <x:v>0</x:v>
      </x:c>
    </x:row>
    <x:row r="13" ht="23" customHeight="1">
      <x:c r="B13" s="1"/>
      <x:c r="C13" s="1"/>
      <x:c r="D13" s="1"/>
      <x:c r="E13" s="1"/>
      <x:c r="F13" s="1"/>
    </x:row>
    <x:row r="14" ht="23" customHeight="1">
      <x:c r="B14" s="21" t="str">
        <x:v>Goal Seek practice in Excel</x:v>
      </x:c>
      <x:c r="C14" s="1"/>
      <x:c r="D14" s="1"/>
      <x:c r="E14" s="1"/>
      <x:c r="F14" s="1"/>
    </x:row>
    <x:row r="15" ht="23" customHeight="1">
      <x:c r="B15" s="1" t="str">
        <x:v>Data &gt; What-If Analysis &gt; Goal Seek</x:v>
      </x:c>
      <x:c r="C15" s="1"/>
      <x:c r="D15" s="1"/>
      <x:c r="E15" s="1"/>
      <x:c r="F15" s="1"/>
    </x:row>
    <x:row r="16" ht="23" customHeight="1">
      <x:c r="B16" s="1" t="str">
        <x:v>Set cell: C9. To value: 15000. By changing cell: C6.</x:v>
      </x:c>
      <x:c r="C16" s="1"/>
      <x:c r="D16" s="1"/>
      <x:c r="E16" s="1"/>
      <x:c r="F16" s="1"/>
    </x:row>
    <x:row r="17" ht="23" customHeight="1">
      <x:c r="B17" s="1" t="str">
        <x:v>Initial revenue is 7,650. Goal Seek should find a price of approximately 117.6470588.</x:v>
      </x:c>
      <x:c r="C17" s="1"/>
      <x:c r="D17" s="1"/>
      <x:c r="E17" s="1"/>
      <x:c r="F17" s="1"/>
    </x:row>
    <x:row r="18" ht="23" customHeight="1">
      <x:c r="B18" s="1" t="str">
        <x:v>Keep the full price precision to produce revenue of exactly 15,000.</x:v>
      </x:c>
      <x:c r="C18" s="1"/>
      <x:c r="D18" s="1"/>
      <x:c r="E18" s="1"/>
      <x:c r="F18" s="1"/>
    </x:row>
    <x:row r="19" ht="23" customHeight="1">
      <x:c r="B19" s="1" t="str">
        <x:v>The formula reference in F10 gives the same solution without running Goal Seek.</x:v>
      </x:c>
      <x:c r="C19" s="1"/>
      <x:c r="D19" s="1"/>
      <x:c r="E19" s="1"/>
      <x:c r="F19" s="1"/>
    </x:row>
    <x:row r="20" ht="23" customHeight="1">
      <x:c r="B20" s="1" t="str">
        <x:v>Source: Module 5.mp4, revenue example at 09:20–12:30.</x:v>
      </x:c>
      <x:c r="C20" s="1"/>
      <x:c r="D20" s="1"/>
      <x:c r="E20" s="1"/>
      <x:c r="F20" s="1"/>
    </x:row>
    <x:row r="21" ht="23" customHeight="1">
      <x:c r="B21" s="1" t="str">
        <x:v>This workbook reconstructs the demonstrated examples, rather than the original multi-module file.</x:v>
      </x:c>
      <x:c r="C21" s="1"/>
      <x:c r="D21" s="1"/>
      <x:c r="E21" s="1"/>
      <x:c r="F21" s="1"/>
    </x:row>
  </x:sheetData>
  <x:pageMargins left="0.7" right="0.7" top="0.75" bottom="0.75" header="0.3" footer="0.3"/>
</x:worksheet>
</file>