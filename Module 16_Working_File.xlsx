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gram" sheetId="1" r:id="rId4"/>
  </sheets>
  <definedNames/>
  <calcPr/>
  <extLst>
    <ext uri="GoogleSheetsCustomDataVersion2">
      <go:sheetsCustomData xmlns:go="http://customooxmlschemas.google.com/" r:id="rId5" roundtripDataChecksum="icB7bMqf/nLvd/jl9g0nw0Cezo6l9F98TD4Q7EQ3RBg="/>
    </ext>
  </extLst>
</workbook>
</file>

<file path=xl/sharedStrings.xml><?xml version="1.0" encoding="utf-8"?>
<sst xmlns="http://schemas.openxmlformats.org/spreadsheetml/2006/main" count="106" uniqueCount="66">
  <si>
    <t>Student Name</t>
  </si>
  <si>
    <t>Country</t>
  </si>
  <si>
    <t>Final Grades</t>
  </si>
  <si>
    <t>Range</t>
  </si>
  <si>
    <t>Frequency Distribution</t>
  </si>
  <si>
    <t>Upper Limit</t>
  </si>
  <si>
    <t>Morris</t>
  </si>
  <si>
    <t>GA</t>
  </si>
  <si>
    <t>0-40</t>
  </si>
  <si>
    <t>Peggy</t>
  </si>
  <si>
    <t>SC</t>
  </si>
  <si>
    <t>41-60</t>
  </si>
  <si>
    <t>Obrien</t>
  </si>
  <si>
    <t>CA</t>
  </si>
  <si>
    <t>61-80</t>
  </si>
  <si>
    <t>Janet</t>
  </si>
  <si>
    <t>81-90</t>
  </si>
  <si>
    <t>Hoover</t>
  </si>
  <si>
    <t>91-100</t>
  </si>
  <si>
    <t>Hensley</t>
  </si>
  <si>
    <t>Griffith</t>
  </si>
  <si>
    <t>Horne</t>
  </si>
  <si>
    <t>Haas</t>
  </si>
  <si>
    <t>Bin</t>
  </si>
  <si>
    <t>Frequency</t>
  </si>
  <si>
    <t>Baird</t>
  </si>
  <si>
    <t>Ernest</t>
  </si>
  <si>
    <t>Glenda</t>
  </si>
  <si>
    <t>Payne</t>
  </si>
  <si>
    <t>Henderson</t>
  </si>
  <si>
    <t>Maisa</t>
  </si>
  <si>
    <t>More</t>
  </si>
  <si>
    <t>Harrington</t>
  </si>
  <si>
    <t>Total</t>
  </si>
  <si>
    <t>Jennings</t>
  </si>
  <si>
    <t>Ramon</t>
  </si>
  <si>
    <t>Hampton</t>
  </si>
  <si>
    <t>Bin width</t>
  </si>
  <si>
    <t>Phillips</t>
  </si>
  <si>
    <t>Start (min grade)</t>
  </si>
  <si>
    <t>Mcconnell</t>
  </si>
  <si>
    <t>Wise</t>
  </si>
  <si>
    <t>Lower (excl.)</t>
  </si>
  <si>
    <t>Upper (incl.)</t>
  </si>
  <si>
    <t>Mason</t>
  </si>
  <si>
    <t>Jarvis</t>
  </si>
  <si>
    <t>Terence</t>
  </si>
  <si>
    <t>Fox</t>
  </si>
  <si>
    <t>Li</t>
  </si>
  <si>
    <t>Fitzpatrick</t>
  </si>
  <si>
    <t>Sullivan</t>
  </si>
  <si>
    <t>Benson</t>
  </si>
  <si>
    <t>Roach</t>
  </si>
  <si>
    <t>Peck</t>
  </si>
  <si>
    <t>Gardner</t>
  </si>
  <si>
    <t>Rubio</t>
  </si>
  <si>
    <t>Erickson</t>
  </si>
  <si>
    <t>Anupama</t>
  </si>
  <si>
    <t>Dale</t>
  </si>
  <si>
    <t>John</t>
  </si>
  <si>
    <t>Notes</t>
  </si>
  <si>
    <t>Data (B3:D41): 39 student grades transcribed from the video. Blue cells are inputs you can change.</t>
  </si>
  <si>
    <t>F2:H7: grade bands as left at the end of the video (upper limits 40/60/80/90/100). Frequency column is filled with COUNTIFS.</t>
  </si>
  <si>
    <t>F11:G17: equivalent of the Data Analysis ToolPak &gt; Histogram output (Input D3:D41, Bin Range H3:H7, Output F11, Chart Output).</t>
  </si>
  <si>
    <t xml:space="preserve">  ToolPak writes static values; here they are live formulas. Earlier run in the video used bins 30/35/50/60/75/85/100.</t>
  </si>
  <si>
    <t>F21:I29: helper table behind the colored 'Distribution range' chart (built-in Histogram chart with bin width 20).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</si>
</sst>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FF"/>
      <name val="Calibri"/>
    </font>
    <font>
      <i/>
      <sz val="11.0"/>
      <color theme="1"/>
      <name val="Calibri"/>
    </font>
    <font>
      <b/>
      <sz val="11.0"/>
      <color rgb="FF404040"/>
      <name val="Calibri"/>
    </font>
    <font>
      <i/>
      <sz val="11.0"/>
      <color rgb="FF40404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Histogram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Frequency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A5A5A5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C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5B9BD5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70AD47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Histogram!$F$12:$F$17</c:f>
            </c:strRef>
          </c:cat>
          <c:val>
            <c:numRef>
              <c:f>Histogram!$G$12:$G$17</c:f>
              <c:numCache/>
            </c:numRef>
          </c:val>
        </c:ser>
        <c:axId val="176499876"/>
        <c:axId val="1540366310"/>
      </c:barChart>
      <c:catAx>
        <c:axId val="176499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Bin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0366310"/>
      </c:catAx>
      <c:valAx>
        <c:axId val="1540366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649987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Histogram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Frequency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FF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C000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Histogram!$F$25:$F$28</c:f>
            </c:strRef>
          </c:cat>
          <c:val>
            <c:numRef>
              <c:f>Histogram!$G$25:$G$28</c:f>
              <c:numCache/>
            </c:numRef>
          </c:val>
        </c:ser>
        <c:axId val="1771579561"/>
        <c:axId val="1830881987"/>
      </c:barChart>
      <c:catAx>
        <c:axId val="1771579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Distribution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0881987"/>
      </c:catAx>
      <c:valAx>
        <c:axId val="1830881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71579561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5153025" cy="2828925"/>
    <xdr:graphicFrame>
      <xdr:nvGraphicFramePr>
        <xdr:cNvPr id="132214476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18</xdr:row>
      <xdr:rowOff>0</xdr:rowOff>
    </xdr:from>
    <xdr:ext cx="5153025" cy="2828925"/>
    <xdr:graphicFrame>
      <xdr:nvGraphicFramePr>
        <xdr:cNvPr id="40166870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0"/>
    <col customWidth="1" min="3" max="3" width="10.0"/>
    <col customWidth="1" min="4" max="4" width="14.0"/>
    <col customWidth="1" min="5" max="5" width="4.0"/>
    <col customWidth="1" min="6" max="6" width="18.0"/>
    <col customWidth="1" min="7" max="7" width="24.0"/>
    <col customWidth="1" min="8" max="9" width="14.0"/>
    <col customWidth="1" min="10" max="26" width="8.71"/>
  </cols>
  <sheetData>
    <row r="2">
      <c r="B2" s="1" t="s">
        <v>0</v>
      </c>
      <c r="C2" s="1" t="s">
        <v>1</v>
      </c>
      <c r="D2" s="1" t="s">
        <v>2</v>
      </c>
      <c r="F2" s="1" t="s">
        <v>3</v>
      </c>
      <c r="G2" s="1" t="s">
        <v>4</v>
      </c>
      <c r="H2" s="1" t="s">
        <v>5</v>
      </c>
    </row>
    <row r="3">
      <c r="B3" s="2" t="s">
        <v>6</v>
      </c>
      <c r="C3" s="2" t="s">
        <v>7</v>
      </c>
      <c r="D3" s="2">
        <v>21.0</v>
      </c>
      <c r="F3" s="3" t="s">
        <v>8</v>
      </c>
      <c r="G3" s="2">
        <f>COUNTIFS($D$3:$D$41,"&lt;="&amp;H3)</f>
        <v>9</v>
      </c>
      <c r="H3" s="4">
        <v>40.0</v>
      </c>
    </row>
    <row r="4">
      <c r="B4" s="2" t="s">
        <v>9</v>
      </c>
      <c r="C4" s="2" t="s">
        <v>10</v>
      </c>
      <c r="D4" s="2">
        <v>22.0</v>
      </c>
      <c r="F4" s="3" t="s">
        <v>11</v>
      </c>
      <c r="G4" s="2">
        <f t="shared" ref="G4:G7" si="1">COUNTIFS($D$3:$D$41,"&gt;"&amp;H3,$D$3:$D$41,"&lt;="&amp;H4)</f>
        <v>8</v>
      </c>
      <c r="H4" s="4">
        <v>60.0</v>
      </c>
    </row>
    <row r="5">
      <c r="B5" s="2" t="s">
        <v>12</v>
      </c>
      <c r="C5" s="2" t="s">
        <v>13</v>
      </c>
      <c r="D5" s="2">
        <v>22.0</v>
      </c>
      <c r="F5" s="3" t="s">
        <v>14</v>
      </c>
      <c r="G5" s="2">
        <f t="shared" si="1"/>
        <v>12</v>
      </c>
      <c r="H5" s="4">
        <v>80.0</v>
      </c>
    </row>
    <row r="6">
      <c r="B6" s="2" t="s">
        <v>15</v>
      </c>
      <c r="C6" s="2" t="s">
        <v>10</v>
      </c>
      <c r="D6" s="2">
        <v>24.0</v>
      </c>
      <c r="F6" s="3" t="s">
        <v>16</v>
      </c>
      <c r="G6" s="2">
        <f t="shared" si="1"/>
        <v>5</v>
      </c>
      <c r="H6" s="4">
        <v>90.0</v>
      </c>
    </row>
    <row r="7">
      <c r="B7" s="2" t="s">
        <v>17</v>
      </c>
      <c r="C7" s="2" t="s">
        <v>7</v>
      </c>
      <c r="D7" s="2">
        <v>25.0</v>
      </c>
      <c r="F7" s="3" t="s">
        <v>18</v>
      </c>
      <c r="G7" s="2">
        <f t="shared" si="1"/>
        <v>5</v>
      </c>
      <c r="H7" s="4">
        <v>100.0</v>
      </c>
    </row>
    <row r="8">
      <c r="B8" s="2" t="s">
        <v>19</v>
      </c>
      <c r="C8" s="2" t="s">
        <v>10</v>
      </c>
      <c r="D8" s="2">
        <v>31.0</v>
      </c>
    </row>
    <row r="9">
      <c r="B9" s="2" t="s">
        <v>20</v>
      </c>
      <c r="C9" s="2" t="s">
        <v>7</v>
      </c>
      <c r="D9" s="2">
        <v>34.0</v>
      </c>
    </row>
    <row r="10">
      <c r="B10" s="2" t="s">
        <v>21</v>
      </c>
      <c r="C10" s="2" t="s">
        <v>13</v>
      </c>
      <c r="D10" s="2">
        <v>36.0</v>
      </c>
    </row>
    <row r="11">
      <c r="B11" s="2" t="s">
        <v>22</v>
      </c>
      <c r="C11" s="2" t="s">
        <v>10</v>
      </c>
      <c r="D11" s="2">
        <v>40.0</v>
      </c>
      <c r="F11" s="5" t="s">
        <v>23</v>
      </c>
      <c r="G11" s="5" t="s">
        <v>24</v>
      </c>
    </row>
    <row r="12">
      <c r="B12" s="2" t="s">
        <v>25</v>
      </c>
      <c r="C12" s="2" t="s">
        <v>10</v>
      </c>
      <c r="D12" s="2">
        <v>43.0</v>
      </c>
      <c r="F12" s="6">
        <f t="shared" ref="F12:F16" si="2">H3</f>
        <v>40</v>
      </c>
      <c r="G12" s="6">
        <f>COUNTIFS($D$3:$D$41,"&lt;="&amp;F12)</f>
        <v>9</v>
      </c>
    </row>
    <row r="13">
      <c r="B13" s="2" t="s">
        <v>26</v>
      </c>
      <c r="C13" s="2" t="s">
        <v>10</v>
      </c>
      <c r="D13" s="2">
        <v>44.0</v>
      </c>
      <c r="F13" s="6">
        <f t="shared" si="2"/>
        <v>60</v>
      </c>
      <c r="G13" s="6">
        <f t="shared" ref="G13:G16" si="3">COUNTIFS($D$3:$D$41,"&gt;"&amp;F12,$D$3:$D$41,"&lt;="&amp;F13)</f>
        <v>8</v>
      </c>
    </row>
    <row r="14">
      <c r="B14" s="2" t="s">
        <v>27</v>
      </c>
      <c r="C14" s="2" t="s">
        <v>10</v>
      </c>
      <c r="D14" s="2">
        <v>46.0</v>
      </c>
      <c r="F14" s="6">
        <f t="shared" si="2"/>
        <v>80</v>
      </c>
      <c r="G14" s="6">
        <f t="shared" si="3"/>
        <v>12</v>
      </c>
    </row>
    <row r="15">
      <c r="B15" s="2" t="s">
        <v>28</v>
      </c>
      <c r="C15" s="2" t="s">
        <v>7</v>
      </c>
      <c r="D15" s="2">
        <v>54.0</v>
      </c>
      <c r="F15" s="6">
        <f t="shared" si="2"/>
        <v>90</v>
      </c>
      <c r="G15" s="6">
        <f t="shared" si="3"/>
        <v>5</v>
      </c>
    </row>
    <row r="16">
      <c r="B16" s="2" t="s">
        <v>29</v>
      </c>
      <c r="C16" s="2" t="s">
        <v>13</v>
      </c>
      <c r="D16" s="2">
        <v>55.0</v>
      </c>
      <c r="F16" s="6">
        <f t="shared" si="2"/>
        <v>100</v>
      </c>
      <c r="G16" s="6">
        <f t="shared" si="3"/>
        <v>5</v>
      </c>
    </row>
    <row r="17">
      <c r="B17" s="2" t="s">
        <v>30</v>
      </c>
      <c r="C17" s="2" t="s">
        <v>7</v>
      </c>
      <c r="D17" s="2">
        <v>56.0</v>
      </c>
      <c r="F17" s="7" t="s">
        <v>31</v>
      </c>
      <c r="G17" s="6">
        <f>COUNTIF($D$3:$D$41,"&gt;"&amp;F16)</f>
        <v>0</v>
      </c>
    </row>
    <row r="18">
      <c r="B18" s="2" t="s">
        <v>32</v>
      </c>
      <c r="C18" s="2" t="s">
        <v>13</v>
      </c>
      <c r="D18" s="2">
        <v>56.0</v>
      </c>
      <c r="F18" s="8" t="s">
        <v>33</v>
      </c>
      <c r="G18" s="9">
        <f>SUM(G12:G17)</f>
        <v>39</v>
      </c>
    </row>
    <row r="19">
      <c r="B19" s="2" t="s">
        <v>34</v>
      </c>
      <c r="C19" s="2" t="s">
        <v>13</v>
      </c>
      <c r="D19" s="2">
        <v>57.0</v>
      </c>
    </row>
    <row r="20">
      <c r="B20" s="2" t="s">
        <v>35</v>
      </c>
      <c r="C20" s="2" t="s">
        <v>13</v>
      </c>
      <c r="D20" s="2">
        <v>61.0</v>
      </c>
    </row>
    <row r="21" ht="15.75" customHeight="1">
      <c r="B21" s="2" t="s">
        <v>36</v>
      </c>
      <c r="C21" s="2" t="s">
        <v>7</v>
      </c>
      <c r="D21" s="2">
        <v>61.0</v>
      </c>
      <c r="F21" s="10" t="s">
        <v>37</v>
      </c>
      <c r="G21" s="11">
        <v>20.0</v>
      </c>
    </row>
    <row r="22" ht="15.75" customHeight="1">
      <c r="B22" s="2" t="s">
        <v>38</v>
      </c>
      <c r="C22" s="2" t="s">
        <v>10</v>
      </c>
      <c r="D22" s="2">
        <v>62.0</v>
      </c>
      <c r="F22" s="10" t="s">
        <v>39</v>
      </c>
      <c r="G22" s="12">
        <f>MIN($D$3:$D$41)</f>
        <v>21</v>
      </c>
    </row>
    <row r="23" ht="15.75" customHeight="1">
      <c r="B23" s="2" t="s">
        <v>40</v>
      </c>
      <c r="C23" s="2" t="s">
        <v>10</v>
      </c>
      <c r="D23" s="2">
        <v>67.0</v>
      </c>
    </row>
    <row r="24" ht="15.75" customHeight="1">
      <c r="B24" s="2" t="s">
        <v>41</v>
      </c>
      <c r="C24" s="2" t="s">
        <v>7</v>
      </c>
      <c r="D24" s="2">
        <v>69.0</v>
      </c>
      <c r="F24" s="5" t="s">
        <v>23</v>
      </c>
      <c r="G24" s="5" t="s">
        <v>24</v>
      </c>
      <c r="H24" s="5" t="s">
        <v>42</v>
      </c>
      <c r="I24" s="5" t="s">
        <v>43</v>
      </c>
    </row>
    <row r="25" ht="15.75" customHeight="1">
      <c r="B25" s="2" t="s">
        <v>44</v>
      </c>
      <c r="C25" s="2" t="s">
        <v>13</v>
      </c>
      <c r="D25" s="2">
        <v>69.0</v>
      </c>
      <c r="F25" s="13" t="str">
        <f t="shared" ref="F25:F28" si="4">IF(ROW()=25,"[","(")&amp;H25&amp;","&amp;I25&amp;"]"</f>
        <v>[21,41]</v>
      </c>
      <c r="G25" s="13">
        <f>COUNTIFS($D$3:$D$41,"&gt;="&amp;H25,$D$3:$D$41,"&lt;="&amp;I25)</f>
        <v>9</v>
      </c>
      <c r="H25" s="13">
        <f>$G$22</f>
        <v>21</v>
      </c>
      <c r="I25" s="13">
        <f t="shared" ref="I25:I28" si="5">H25+$G$21</f>
        <v>41</v>
      </c>
    </row>
    <row r="26" ht="15.75" customHeight="1">
      <c r="B26" s="2" t="s">
        <v>45</v>
      </c>
      <c r="C26" s="2" t="s">
        <v>13</v>
      </c>
      <c r="D26" s="2">
        <v>69.0</v>
      </c>
      <c r="F26" s="13" t="str">
        <f t="shared" si="4"/>
        <v>(41,61]</v>
      </c>
      <c r="G26" s="13">
        <f t="shared" ref="G26:G28" si="6">COUNTIFS($D$3:$D$41,"&gt;"&amp;H26,$D$3:$D$41,"&lt;="&amp;I26)</f>
        <v>10</v>
      </c>
      <c r="H26" s="13">
        <f t="shared" ref="H26:H28" si="7">I25</f>
        <v>41</v>
      </c>
      <c r="I26" s="13">
        <f t="shared" si="5"/>
        <v>61</v>
      </c>
    </row>
    <row r="27" ht="15.75" customHeight="1">
      <c r="B27" s="2" t="s">
        <v>46</v>
      </c>
      <c r="C27" s="2" t="s">
        <v>13</v>
      </c>
      <c r="D27" s="2">
        <v>70.0</v>
      </c>
      <c r="F27" s="13" t="str">
        <f t="shared" si="4"/>
        <v>(61,81]</v>
      </c>
      <c r="G27" s="13">
        <f t="shared" si="6"/>
        <v>11</v>
      </c>
      <c r="H27" s="13">
        <f t="shared" si="7"/>
        <v>61</v>
      </c>
      <c r="I27" s="13">
        <f t="shared" si="5"/>
        <v>81</v>
      </c>
    </row>
    <row r="28" ht="15.75" customHeight="1">
      <c r="B28" s="2" t="s">
        <v>47</v>
      </c>
      <c r="C28" s="2" t="s">
        <v>13</v>
      </c>
      <c r="D28" s="2">
        <v>71.0</v>
      </c>
      <c r="F28" s="13" t="str">
        <f t="shared" si="4"/>
        <v>(81,101]</v>
      </c>
      <c r="G28" s="13">
        <f t="shared" si="6"/>
        <v>9</v>
      </c>
      <c r="H28" s="13">
        <f t="shared" si="7"/>
        <v>81</v>
      </c>
      <c r="I28" s="13">
        <f t="shared" si="5"/>
        <v>101</v>
      </c>
    </row>
    <row r="29" ht="15.75" customHeight="1">
      <c r="B29" s="2" t="s">
        <v>48</v>
      </c>
      <c r="C29" s="2" t="s">
        <v>10</v>
      </c>
      <c r="D29" s="2">
        <v>73.0</v>
      </c>
      <c r="F29" s="10" t="s">
        <v>33</v>
      </c>
      <c r="G29" s="14">
        <f>SUM(G25:G28)</f>
        <v>39</v>
      </c>
    </row>
    <row r="30" ht="15.75" customHeight="1">
      <c r="B30" s="2" t="s">
        <v>49</v>
      </c>
      <c r="C30" s="2" t="s">
        <v>10</v>
      </c>
      <c r="D30" s="2">
        <v>79.0</v>
      </c>
    </row>
    <row r="31" ht="15.75" customHeight="1">
      <c r="B31" s="2" t="s">
        <v>50</v>
      </c>
      <c r="C31" s="2" t="s">
        <v>13</v>
      </c>
      <c r="D31" s="2">
        <v>80.0</v>
      </c>
    </row>
    <row r="32" ht="15.75" customHeight="1">
      <c r="B32" s="2" t="s">
        <v>51</v>
      </c>
      <c r="C32" s="2" t="s">
        <v>10</v>
      </c>
      <c r="D32" s="2">
        <v>81.0</v>
      </c>
    </row>
    <row r="33" ht="15.75" customHeight="1">
      <c r="B33" s="2" t="s">
        <v>52</v>
      </c>
      <c r="C33" s="2" t="s">
        <v>7</v>
      </c>
      <c r="D33" s="2">
        <v>85.0</v>
      </c>
    </row>
    <row r="34" ht="15.75" customHeight="1">
      <c r="B34" s="2" t="s">
        <v>53</v>
      </c>
      <c r="C34" s="2" t="s">
        <v>10</v>
      </c>
      <c r="D34" s="2">
        <v>85.0</v>
      </c>
    </row>
    <row r="35" ht="15.75" customHeight="1">
      <c r="B35" s="2" t="s">
        <v>54</v>
      </c>
      <c r="C35" s="2" t="s">
        <v>10</v>
      </c>
      <c r="D35" s="2">
        <v>88.0</v>
      </c>
    </row>
    <row r="36" ht="15.75" customHeight="1">
      <c r="B36" s="2" t="s">
        <v>55</v>
      </c>
      <c r="C36" s="2" t="s">
        <v>10</v>
      </c>
      <c r="D36" s="2">
        <v>89.0</v>
      </c>
    </row>
    <row r="37" ht="15.75" customHeight="1">
      <c r="B37" s="2" t="s">
        <v>36</v>
      </c>
      <c r="C37" s="2" t="s">
        <v>10</v>
      </c>
      <c r="D37" s="2">
        <v>93.0</v>
      </c>
    </row>
    <row r="38" ht="15.75" customHeight="1">
      <c r="B38" s="2" t="s">
        <v>56</v>
      </c>
      <c r="C38" s="2" t="s">
        <v>7</v>
      </c>
      <c r="D38" s="2">
        <v>93.0</v>
      </c>
    </row>
    <row r="39" ht="15.75" customHeight="1">
      <c r="B39" s="2" t="s">
        <v>57</v>
      </c>
      <c r="C39" s="2" t="s">
        <v>13</v>
      </c>
      <c r="D39" s="2">
        <v>94.0</v>
      </c>
    </row>
    <row r="40" ht="15.75" customHeight="1">
      <c r="B40" s="2" t="s">
        <v>58</v>
      </c>
      <c r="C40" s="2" t="s">
        <v>7</v>
      </c>
      <c r="D40" s="2">
        <v>94.0</v>
      </c>
    </row>
    <row r="41" ht="15.75" customHeight="1">
      <c r="B41" s="2" t="s">
        <v>59</v>
      </c>
      <c r="C41" s="2" t="s">
        <v>13</v>
      </c>
      <c r="D41" s="2">
        <v>98.0</v>
      </c>
    </row>
    <row r="42" ht="15.75" customHeight="1"/>
    <row r="43" ht="15.75" customHeight="1"/>
    <row r="44" ht="15.75" customHeight="1">
      <c r="B44" s="15" t="s">
        <v>60</v>
      </c>
    </row>
    <row r="45" ht="15.75" customHeight="1">
      <c r="B45" s="16" t="s">
        <v>61</v>
      </c>
    </row>
    <row r="46" ht="15.75" customHeight="1">
      <c r="B46" s="16" t="s">
        <v>62</v>
      </c>
    </row>
    <row r="47" ht="15.75" customHeight="1">
      <c r="B47" s="16" t="s">
        <v>63</v>
      </c>
    </row>
    <row r="48" ht="15.75" customHeight="1">
      <c r="B48" s="16" t="s">
        <v>64</v>
      </c>
    </row>
    <row r="49" ht="15.75" customHeight="1">
      <c r="B49" s="16" t="s">
        <v>65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2026-10-27T08:25:59Z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